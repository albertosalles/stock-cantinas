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osalles/Downloads/"/>
    </mc:Choice>
  </mc:AlternateContent>
  <xr:revisionPtr revIDLastSave="0" documentId="13_ncr:1_{E9AE89E3-CE2F-4840-A9C9-8A0B77AF26AC}" xr6:coauthVersionLast="47" xr6:coauthVersionMax="47" xr10:uidLastSave="{00000000-0000-0000-0000-000000000000}"/>
  <bookViews>
    <workbookView xWindow="4320" yWindow="600" windowWidth="24480" windowHeight="16180" activeTab="1" xr2:uid="{2EEC8CA2-C621-4D5E-B317-370CE4EF6140}"/>
  </bookViews>
  <sheets>
    <sheet name="PLANTILLA JUMPERS" sheetId="2" r:id="rId1"/>
    <sheet name="PLANTILLA MATUTANO" sheetId="3" r:id="rId2"/>
    <sheet name="PLANTILLA GREFUS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6" i="4" l="1"/>
  <c r="R36" i="4"/>
  <c r="Q36" i="4"/>
  <c r="P36" i="4"/>
  <c r="O36" i="4"/>
  <c r="N36" i="4"/>
  <c r="M36" i="4"/>
  <c r="J36" i="4"/>
  <c r="I36" i="4"/>
  <c r="H36" i="4"/>
  <c r="E36" i="4"/>
  <c r="F36" i="4" s="1"/>
  <c r="D36" i="4"/>
  <c r="U35" i="4"/>
  <c r="R35" i="4"/>
  <c r="Q35" i="4"/>
  <c r="P35" i="4"/>
  <c r="O35" i="4"/>
  <c r="N35" i="4"/>
  <c r="M35" i="4"/>
  <c r="I35" i="4"/>
  <c r="J35" i="4" s="1"/>
  <c r="H35" i="4"/>
  <c r="E35" i="4"/>
  <c r="F35" i="4" s="1"/>
  <c r="D35" i="4"/>
  <c r="U34" i="4"/>
  <c r="R34" i="4"/>
  <c r="Q34" i="4"/>
  <c r="P34" i="4"/>
  <c r="O34" i="4"/>
  <c r="N34" i="4"/>
  <c r="M34" i="4"/>
  <c r="I34" i="4"/>
  <c r="J34" i="4" s="1"/>
  <c r="H34" i="4"/>
  <c r="E34" i="4"/>
  <c r="F34" i="4" s="1"/>
  <c r="D34" i="4"/>
  <c r="U33" i="4"/>
  <c r="R33" i="4"/>
  <c r="Q33" i="4"/>
  <c r="P33" i="4"/>
  <c r="O33" i="4"/>
  <c r="N33" i="4"/>
  <c r="M33" i="4"/>
  <c r="I33" i="4"/>
  <c r="J33" i="4" s="1"/>
  <c r="H33" i="4"/>
  <c r="F33" i="4"/>
  <c r="E33" i="4"/>
  <c r="D33" i="4"/>
  <c r="B33" i="4"/>
  <c r="C33" i="4" s="1"/>
  <c r="U32" i="4"/>
  <c r="R32" i="4"/>
  <c r="Q32" i="4"/>
  <c r="P32" i="4"/>
  <c r="O32" i="4"/>
  <c r="N32" i="4"/>
  <c r="M32" i="4"/>
  <c r="I32" i="4"/>
  <c r="J32" i="4" s="1"/>
  <c r="H32" i="4"/>
  <c r="E32" i="4"/>
  <c r="F32" i="4" s="1"/>
  <c r="D32" i="4"/>
  <c r="U31" i="4"/>
  <c r="R31" i="4"/>
  <c r="Q31" i="4"/>
  <c r="P31" i="4"/>
  <c r="O31" i="4"/>
  <c r="N31" i="4"/>
  <c r="M31" i="4"/>
  <c r="I31" i="4"/>
  <c r="J31" i="4" s="1"/>
  <c r="H31" i="4"/>
  <c r="E31" i="4"/>
  <c r="F31" i="4" s="1"/>
  <c r="D31" i="4"/>
  <c r="V26" i="4"/>
  <c r="B36" i="4" s="1"/>
  <c r="V25" i="4"/>
  <c r="B35" i="4" s="1"/>
  <c r="V24" i="4"/>
  <c r="B34" i="4" s="1"/>
  <c r="C34" i="4" s="1"/>
  <c r="V23" i="4"/>
  <c r="V22" i="4"/>
  <c r="B32" i="4" s="1"/>
  <c r="V21" i="4"/>
  <c r="B31" i="4" s="1"/>
  <c r="V17" i="4"/>
  <c r="V16" i="4"/>
  <c r="V15" i="4"/>
  <c r="V14" i="4"/>
  <c r="V13" i="4"/>
  <c r="V12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V8" i="4" s="1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V7" i="4" s="1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6" i="4" s="1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V5" i="4" s="1"/>
  <c r="V4" i="4"/>
  <c r="V3" i="4"/>
  <c r="Q36" i="3"/>
  <c r="P36" i="3"/>
  <c r="O36" i="3"/>
  <c r="N36" i="3"/>
  <c r="M36" i="3"/>
  <c r="I36" i="3"/>
  <c r="J36" i="3" s="1"/>
  <c r="F36" i="3"/>
  <c r="E36" i="3"/>
  <c r="Q35" i="3"/>
  <c r="P35" i="3"/>
  <c r="O35" i="3"/>
  <c r="N35" i="3"/>
  <c r="M35" i="3"/>
  <c r="I35" i="3"/>
  <c r="J35" i="3" s="1"/>
  <c r="E35" i="3"/>
  <c r="F35" i="3" s="1"/>
  <c r="Q34" i="3"/>
  <c r="P34" i="3"/>
  <c r="O34" i="3"/>
  <c r="N34" i="3"/>
  <c r="M34" i="3"/>
  <c r="J34" i="3"/>
  <c r="I34" i="3"/>
  <c r="F34" i="3"/>
  <c r="E34" i="3"/>
  <c r="Q33" i="3"/>
  <c r="P33" i="3"/>
  <c r="O33" i="3"/>
  <c r="N33" i="3"/>
  <c r="M33" i="3"/>
  <c r="I33" i="3"/>
  <c r="J33" i="3" s="1"/>
  <c r="E33" i="3"/>
  <c r="F33" i="3" s="1"/>
  <c r="B33" i="3"/>
  <c r="C33" i="3" s="1"/>
  <c r="Q32" i="3"/>
  <c r="P32" i="3"/>
  <c r="O32" i="3"/>
  <c r="N32" i="3"/>
  <c r="M32" i="3"/>
  <c r="J32" i="3"/>
  <c r="I32" i="3"/>
  <c r="F32" i="3"/>
  <c r="E32" i="3"/>
  <c r="Q31" i="3"/>
  <c r="P31" i="3"/>
  <c r="O31" i="3"/>
  <c r="N31" i="3"/>
  <c r="M31" i="3"/>
  <c r="I31" i="3"/>
  <c r="J31" i="3" s="1"/>
  <c r="E31" i="3"/>
  <c r="F31" i="3" s="1"/>
  <c r="V26" i="3"/>
  <c r="B36" i="3" s="1"/>
  <c r="V25" i="3"/>
  <c r="B35" i="3" s="1"/>
  <c r="V24" i="3"/>
  <c r="B34" i="3" s="1"/>
  <c r="C34" i="3" s="1"/>
  <c r="V23" i="3"/>
  <c r="V22" i="3"/>
  <c r="B32" i="3" s="1"/>
  <c r="C32" i="3" s="1"/>
  <c r="V21" i="3"/>
  <c r="B31" i="3" s="1"/>
  <c r="V17" i="3"/>
  <c r="V16" i="3"/>
  <c r="V15" i="3"/>
  <c r="V14" i="3"/>
  <c r="V13" i="3"/>
  <c r="V12" i="3"/>
  <c r="V8" i="3"/>
  <c r="V7" i="3"/>
  <c r="V6" i="3"/>
  <c r="V5" i="3"/>
  <c r="V4" i="3"/>
  <c r="V3" i="3"/>
  <c r="Q39" i="2"/>
  <c r="P39" i="2"/>
  <c r="O39" i="2"/>
  <c r="N39" i="2"/>
  <c r="M39" i="2"/>
  <c r="J39" i="2"/>
  <c r="I39" i="2"/>
  <c r="E39" i="2"/>
  <c r="F39" i="2" s="1"/>
  <c r="Q38" i="2"/>
  <c r="P38" i="2"/>
  <c r="O38" i="2"/>
  <c r="N38" i="2"/>
  <c r="M38" i="2"/>
  <c r="I38" i="2"/>
  <c r="J38" i="2" s="1"/>
  <c r="E38" i="2"/>
  <c r="F38" i="2" s="1"/>
  <c r="B38" i="2"/>
  <c r="Q37" i="2"/>
  <c r="P37" i="2"/>
  <c r="O37" i="2"/>
  <c r="N37" i="2"/>
  <c r="M37" i="2"/>
  <c r="J37" i="2"/>
  <c r="I37" i="2"/>
  <c r="F37" i="2"/>
  <c r="E37" i="2"/>
  <c r="Q36" i="2"/>
  <c r="P36" i="2"/>
  <c r="O36" i="2"/>
  <c r="N36" i="2"/>
  <c r="M36" i="2"/>
  <c r="I36" i="2"/>
  <c r="J36" i="2" s="1"/>
  <c r="E36" i="2"/>
  <c r="F36" i="2" s="1"/>
  <c r="B36" i="2"/>
  <c r="C36" i="2" s="1"/>
  <c r="Q35" i="2"/>
  <c r="P35" i="2"/>
  <c r="O35" i="2"/>
  <c r="N35" i="2"/>
  <c r="M35" i="2"/>
  <c r="J35" i="2"/>
  <c r="I35" i="2"/>
  <c r="F35" i="2"/>
  <c r="E35" i="2"/>
  <c r="V30" i="2"/>
  <c r="B39" i="2" s="1"/>
  <c r="C39" i="2" s="1"/>
  <c r="V29" i="2"/>
  <c r="V28" i="2"/>
  <c r="B37" i="2" s="1"/>
  <c r="C37" i="2" s="1"/>
  <c r="V27" i="2"/>
  <c r="V26" i="2"/>
  <c r="B35" i="2" s="1"/>
  <c r="C35" i="2" s="1"/>
  <c r="V22" i="2"/>
  <c r="V21" i="2"/>
  <c r="V20" i="2"/>
  <c r="V19" i="2"/>
  <c r="V18" i="2"/>
  <c r="V14" i="2"/>
  <c r="V13" i="2"/>
  <c r="V12" i="2"/>
  <c r="V11" i="2"/>
  <c r="V10" i="2"/>
  <c r="V9" i="2"/>
  <c r="V8" i="2"/>
  <c r="V7" i="2"/>
  <c r="V6" i="2"/>
  <c r="V5" i="2"/>
  <c r="V4" i="2"/>
  <c r="V3" i="2"/>
  <c r="C35" i="4" l="1"/>
  <c r="T32" i="4"/>
  <c r="S32" i="4"/>
  <c r="C32" i="4"/>
  <c r="C36" i="4"/>
  <c r="C31" i="4"/>
  <c r="T31" i="4"/>
  <c r="S31" i="4"/>
  <c r="C31" i="3"/>
  <c r="C35" i="3"/>
  <c r="C36" i="3"/>
  <c r="C38" i="2"/>
</calcChain>
</file>

<file path=xl/sharedStrings.xml><?xml version="1.0" encoding="utf-8"?>
<sst xmlns="http://schemas.openxmlformats.org/spreadsheetml/2006/main" count="386" uniqueCount="78">
  <si>
    <t>INICIO PARTIDO</t>
  </si>
  <si>
    <t>ELCHE - XXXXXXXXXX</t>
  </si>
  <si>
    <t>Sábado</t>
  </si>
  <si>
    <t>T.D</t>
  </si>
  <si>
    <t>T.I</t>
  </si>
  <si>
    <t>F.N.N.</t>
  </si>
  <si>
    <t>F.N.</t>
  </si>
  <si>
    <t>P.V.</t>
  </si>
  <si>
    <t>P.N.</t>
  </si>
  <si>
    <t>F.S.V.</t>
  </si>
  <si>
    <t>F.S.N.</t>
  </si>
  <si>
    <t>EMP.</t>
  </si>
  <si>
    <t>JUG.</t>
  </si>
  <si>
    <t>ANIM.</t>
  </si>
  <si>
    <t>///////</t>
  </si>
  <si>
    <t>A.T.S.</t>
  </si>
  <si>
    <t>A.T.N</t>
  </si>
  <si>
    <t>A.N.T.</t>
  </si>
  <si>
    <t>A.N.P.</t>
  </si>
  <si>
    <t>A.P.N.</t>
  </si>
  <si>
    <t>A.P.S.</t>
  </si>
  <si>
    <t>A.S.P.</t>
  </si>
  <si>
    <t>A.S.T.</t>
  </si>
  <si>
    <t>TOTAL</t>
  </si>
  <si>
    <t>JUM-NOR</t>
  </si>
  <si>
    <t>JUM-KETC</t>
  </si>
  <si>
    <t>JUM-MIX</t>
  </si>
  <si>
    <t>TOKKE</t>
  </si>
  <si>
    <t>OREO</t>
  </si>
  <si>
    <t>COLORES</t>
  </si>
  <si>
    <t>CHUCHES</t>
  </si>
  <si>
    <t>CHICLES</t>
  </si>
  <si>
    <t>CH-CH</t>
  </si>
  <si>
    <t>VARIOS 1</t>
  </si>
  <si>
    <t>VARIOS 2</t>
  </si>
  <si>
    <t>FINAL PARTIDO ANTERIOR</t>
  </si>
  <si>
    <t>UNIDADES PARA COMPLETAR CANTINAS</t>
  </si>
  <si>
    <t>CAJAS PARA PEDIDO</t>
  </si>
  <si>
    <t>Unid./cajas para zona baja</t>
  </si>
  <si>
    <t>Unid./cajas para Anillo</t>
  </si>
  <si>
    <t>ti-fnn-jug</t>
  </si>
  <si>
    <t>fn-pv-pn</t>
  </si>
  <si>
    <t>td-fsn-emp</t>
  </si>
  <si>
    <t>atn-ats</t>
  </si>
  <si>
    <t>ant-anp</t>
  </si>
  <si>
    <t>Almacén después de reparto</t>
  </si>
  <si>
    <t>CAJAS</t>
  </si>
  <si>
    <t>fsv-ani</t>
  </si>
  <si>
    <t>ast-asp</t>
  </si>
  <si>
    <t>apn-aps</t>
  </si>
  <si>
    <t>9 u/c</t>
  </si>
  <si>
    <t>8 u/c</t>
  </si>
  <si>
    <t>GOURMET</t>
  </si>
  <si>
    <t>JAMÓN</t>
  </si>
  <si>
    <t>DORITOS</t>
  </si>
  <si>
    <t>3D CONOS</t>
  </si>
  <si>
    <t>PELOTAZO</t>
  </si>
  <si>
    <t>PANDILLA</t>
  </si>
  <si>
    <t>84 u/c</t>
  </si>
  <si>
    <t>96 u/c</t>
  </si>
  <si>
    <t>PAPADEL</t>
  </si>
  <si>
    <t>GUBLINS</t>
  </si>
  <si>
    <t>VARIOS 3</t>
  </si>
  <si>
    <t>VARIOS 4</t>
  </si>
  <si>
    <t>(siempre pediremos múltiplos de 9)</t>
  </si>
  <si>
    <t>A FACTURAR: DE CADA OCHO, UNA ADICIONAL SIN COSTE</t>
  </si>
  <si>
    <t>con coste</t>
  </si>
  <si>
    <t>sin coste</t>
  </si>
  <si>
    <t>PAPADELTA</t>
  </si>
  <si>
    <t>16 u/c</t>
  </si>
  <si>
    <t>18 u/c</t>
  </si>
  <si>
    <t>PALOMITAS</t>
  </si>
  <si>
    <t>MIX</t>
  </si>
  <si>
    <t>JUMPERS</t>
  </si>
  <si>
    <t>ALGODÓN</t>
  </si>
  <si>
    <t>KETCHUP</t>
  </si>
  <si>
    <t>JAMON</t>
  </si>
  <si>
    <t>CONOS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</si>
</sst>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rgb="FF000000"/>
      <name val="Segoe UI"/>
      <family val="2"/>
    </font>
    <font>
      <b/>
      <sz val="13"/>
      <color rgb="FF000000"/>
      <name val="Segoe UI"/>
      <family val="2"/>
    </font>
    <font>
      <sz val="17"/>
      <color rgb="FF000000"/>
      <name val="Arial"/>
      <family val="2"/>
    </font>
    <font>
      <sz val="11"/>
      <color rgb="FF000000"/>
      <name val="Segoe UI"/>
      <family val="2"/>
    </font>
    <font>
      <sz val="13"/>
      <color rgb="FF000000"/>
      <name val="Segoe UI"/>
      <family val="2"/>
    </font>
    <font>
      <b/>
      <sz val="14"/>
      <color theme="1"/>
      <name val="Segoe UI"/>
    </font>
    <font>
      <b/>
      <sz val="13"/>
      <color rgb="FF000000"/>
      <name val="Segoe U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0" fontId="2" fillId="0" borderId="0" xfId="0" applyNumberFormat="1" applyFo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0" fillId="0" borderId="0" xfId="0" applyAlignment="1">
      <alignment horizontal="right"/>
    </xf>
    <xf numFmtId="0" fontId="0" fillId="0" borderId="13" xfId="0" applyBorder="1" applyAlignment="1">
      <alignment horizontal="center"/>
    </xf>
    <xf numFmtId="0" fontId="2" fillId="0" borderId="14" xfId="0" applyFont="1" applyBorder="1"/>
    <xf numFmtId="0" fontId="2" fillId="0" borderId="11" xfId="0" applyFont="1" applyBorder="1"/>
    <xf numFmtId="0" fontId="7" fillId="0" borderId="6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0" fillId="0" borderId="7" xfId="0" applyBorder="1"/>
    <xf numFmtId="2" fontId="0" fillId="0" borderId="0" xfId="0" applyNumberFormat="1"/>
    <xf numFmtId="4" fontId="0" fillId="0" borderId="13" xfId="0" applyNumberFormat="1" applyBorder="1"/>
    <xf numFmtId="0" fontId="0" fillId="0" borderId="6" xfId="0" applyBorder="1"/>
    <xf numFmtId="2" fontId="3" fillId="0" borderId="0" xfId="0" applyNumberFormat="1" applyFont="1"/>
    <xf numFmtId="0" fontId="2" fillId="0" borderId="0" xfId="0" applyFont="1" applyAlignment="1">
      <alignment horizontal="center"/>
    </xf>
    <xf numFmtId="0" fontId="6" fillId="0" borderId="15" xfId="0" applyFont="1" applyBorder="1" applyAlignment="1">
      <alignment horizontal="right" vertical="center" wrapText="1"/>
    </xf>
    <xf numFmtId="0" fontId="9" fillId="0" borderId="0" xfId="0" applyFont="1"/>
    <xf numFmtId="0" fontId="10" fillId="0" borderId="6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90A1-F8B0-44E6-B41C-95431117965D}">
  <sheetPr>
    <pageSetUpPr fitToPage="1"/>
  </sheetPr>
  <dimension ref="A1:V40"/>
  <sheetViews>
    <sheetView zoomScale="85" zoomScaleNormal="85" workbookViewId="0">
      <selection activeCell="A18" sqref="A18:U20"/>
    </sheetView>
  </sheetViews>
  <sheetFormatPr baseColWidth="10" defaultRowHeight="15" x14ac:dyDescent="0.2"/>
  <cols>
    <col min="1" max="1" width="14.33203125" customWidth="1"/>
    <col min="2" max="21" width="12.5" customWidth="1"/>
    <col min="22" max="22" width="9.6640625" bestFit="1" customWidth="1"/>
  </cols>
  <sheetData>
    <row r="1" spans="1:22" s="3" customFormat="1" ht="30" customHeight="1" thickBot="1" x14ac:dyDescent="0.25">
      <c r="A1" s="1" t="s">
        <v>0</v>
      </c>
      <c r="B1" s="2"/>
      <c r="C1" s="2" t="s">
        <v>1</v>
      </c>
      <c r="E1" s="2" t="s">
        <v>2</v>
      </c>
      <c r="F1" s="36">
        <v>45878</v>
      </c>
      <c r="G1" s="36"/>
      <c r="H1" s="4">
        <v>0.85416666666666663</v>
      </c>
    </row>
    <row r="2" spans="1:22" s="3" customFormat="1" ht="30" customHeight="1" thickBot="1" x14ac:dyDescent="0.25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</row>
    <row r="3" spans="1:22" s="3" customFormat="1" ht="30" customHeight="1" thickBot="1" x14ac:dyDescent="0.25">
      <c r="A3" s="6" t="s">
        <v>73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>
        <f t="shared" ref="V3:V14" si="0">SUM(B3:U3)</f>
        <v>0</v>
      </c>
    </row>
    <row r="4" spans="1:22" s="3" customFormat="1" ht="30" customHeight="1" thickBot="1" x14ac:dyDescent="0.35">
      <c r="A4" s="34" t="s">
        <v>75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f t="shared" si="0"/>
        <v>0</v>
      </c>
    </row>
    <row r="5" spans="1:22" s="3" customFormat="1" ht="30" customHeight="1" thickBot="1" x14ac:dyDescent="0.25">
      <c r="A5" s="6" t="s">
        <v>72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>
        <f t="shared" si="0"/>
        <v>0</v>
      </c>
    </row>
    <row r="6" spans="1:22" s="3" customFormat="1" ht="30" customHeight="1" thickBot="1" x14ac:dyDescent="0.25">
      <c r="A6" s="6" t="s">
        <v>27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>
        <f t="shared" si="0"/>
        <v>0</v>
      </c>
    </row>
    <row r="7" spans="1:22" s="3" customFormat="1" ht="30" customHeight="1" thickBot="1" x14ac:dyDescent="0.25">
      <c r="A7" s="6" t="s">
        <v>28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f t="shared" si="0"/>
        <v>0</v>
      </c>
    </row>
    <row r="8" spans="1:22" s="3" customFormat="1" ht="30" customHeight="1" thickBot="1" x14ac:dyDescent="0.25">
      <c r="A8" s="6" t="s">
        <v>71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f t="shared" si="0"/>
        <v>0</v>
      </c>
    </row>
    <row r="9" spans="1:22" s="3" customFormat="1" ht="30" customHeight="1" thickBot="1" x14ac:dyDescent="0.25">
      <c r="A9" s="6" t="s">
        <v>29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f t="shared" si="0"/>
        <v>0</v>
      </c>
    </row>
    <row r="10" spans="1:22" s="3" customFormat="1" ht="30" customHeight="1" thickBot="1" x14ac:dyDescent="0.25">
      <c r="A10" s="6" t="s">
        <v>30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f t="shared" si="0"/>
        <v>0</v>
      </c>
    </row>
    <row r="11" spans="1:22" s="3" customFormat="1" ht="30" customHeight="1" thickBot="1" x14ac:dyDescent="0.25">
      <c r="A11" s="6" t="s">
        <v>31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f t="shared" si="0"/>
        <v>0</v>
      </c>
    </row>
    <row r="12" spans="1:22" s="3" customFormat="1" ht="30" customHeight="1" thickBot="1" x14ac:dyDescent="0.25">
      <c r="A12" s="6" t="s">
        <v>32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f t="shared" si="0"/>
        <v>0</v>
      </c>
    </row>
    <row r="13" spans="1:22" s="3" customFormat="1" ht="30" customHeight="1" thickBot="1" x14ac:dyDescent="0.25">
      <c r="A13" s="6" t="s">
        <v>74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f t="shared" si="0"/>
        <v>0</v>
      </c>
    </row>
    <row r="14" spans="1:22" s="3" customFormat="1" ht="30" customHeight="1" thickBot="1" x14ac:dyDescent="0.25">
      <c r="A14" s="6" t="s">
        <v>34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f t="shared" si="0"/>
        <v>0</v>
      </c>
    </row>
    <row r="15" spans="1:22" ht="16" x14ac:dyDescent="0.2">
      <c r="A15" s="8"/>
    </row>
    <row r="16" spans="1:22" s="3" customFormat="1" ht="30" customHeight="1" thickBot="1" x14ac:dyDescent="0.25">
      <c r="A16" s="1" t="s">
        <v>35</v>
      </c>
      <c r="B16" s="2"/>
    </row>
    <row r="17" spans="1:22" s="3" customFormat="1" ht="30" customHeight="1" thickBot="1" x14ac:dyDescent="0.25">
      <c r="B17" s="5" t="s">
        <v>3</v>
      </c>
      <c r="C17" s="5" t="s">
        <v>4</v>
      </c>
      <c r="D17" s="5" t="s">
        <v>5</v>
      </c>
      <c r="E17" s="5" t="s">
        <v>6</v>
      </c>
      <c r="F17" s="5" t="s">
        <v>7</v>
      </c>
      <c r="G17" s="5" t="s">
        <v>8</v>
      </c>
      <c r="H17" s="5" t="s">
        <v>9</v>
      </c>
      <c r="I17" s="5" t="s">
        <v>10</v>
      </c>
      <c r="J17" s="5" t="s">
        <v>11</v>
      </c>
      <c r="K17" s="5" t="s">
        <v>12</v>
      </c>
      <c r="L17" s="5" t="s">
        <v>13</v>
      </c>
      <c r="M17" s="5" t="s">
        <v>14</v>
      </c>
      <c r="N17" s="5" t="s">
        <v>15</v>
      </c>
      <c r="O17" s="5" t="s">
        <v>16</v>
      </c>
      <c r="P17" s="5" t="s">
        <v>17</v>
      </c>
      <c r="Q17" s="5" t="s">
        <v>18</v>
      </c>
      <c r="R17" s="5" t="s">
        <v>19</v>
      </c>
      <c r="S17" s="5" t="s">
        <v>20</v>
      </c>
      <c r="T17" s="5" t="s">
        <v>21</v>
      </c>
      <c r="U17" s="5" t="s">
        <v>22</v>
      </c>
      <c r="V17" s="5" t="s">
        <v>23</v>
      </c>
    </row>
    <row r="18" spans="1:22" s="3" customFormat="1" ht="30" customHeight="1" thickBot="1" x14ac:dyDescent="0.25">
      <c r="A18" s="6" t="s">
        <v>24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>
        <f t="shared" ref="V18:V22" si="1">SUM(B18:U18)</f>
        <v>0</v>
      </c>
    </row>
    <row r="19" spans="1:22" s="3" customFormat="1" ht="30" customHeight="1" thickBot="1" x14ac:dyDescent="0.25">
      <c r="A19" s="6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f t="shared" si="1"/>
        <v>0</v>
      </c>
    </row>
    <row r="20" spans="1:22" s="3" customFormat="1" ht="30" customHeight="1" thickBot="1" x14ac:dyDescent="0.25">
      <c r="A20" s="6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f t="shared" si="1"/>
        <v>0</v>
      </c>
    </row>
    <row r="21" spans="1:22" s="3" customFormat="1" ht="30" customHeight="1" thickBot="1" x14ac:dyDescent="0.25">
      <c r="A21" s="6" t="s">
        <v>33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>
        <f t="shared" si="1"/>
        <v>0</v>
      </c>
    </row>
    <row r="22" spans="1:22" s="3" customFormat="1" ht="30" customHeight="1" thickBot="1" x14ac:dyDescent="0.25">
      <c r="A22" s="6" t="s">
        <v>34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>
        <f t="shared" si="1"/>
        <v>0</v>
      </c>
    </row>
    <row r="23" spans="1:22" ht="16" x14ac:dyDescent="0.2">
      <c r="A23" s="8"/>
    </row>
    <row r="24" spans="1:22" s="3" customFormat="1" ht="30" customHeight="1" thickBot="1" x14ac:dyDescent="0.25">
      <c r="A24" s="1" t="s">
        <v>36</v>
      </c>
      <c r="L24" s="9"/>
      <c r="M24" s="9"/>
      <c r="N24" s="9"/>
      <c r="O24" s="9"/>
      <c r="P24" s="9"/>
      <c r="Q24" s="9"/>
      <c r="R24" s="9"/>
      <c r="S24" s="9"/>
      <c r="T24" s="9"/>
    </row>
    <row r="25" spans="1:22" s="3" customFormat="1" ht="30" customHeight="1" thickBot="1" x14ac:dyDescent="0.25"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5" t="s">
        <v>9</v>
      </c>
      <c r="I25" s="5" t="s">
        <v>10</v>
      </c>
      <c r="J25" s="5" t="s">
        <v>11</v>
      </c>
      <c r="K25" s="5" t="s">
        <v>12</v>
      </c>
      <c r="L25" s="5" t="s">
        <v>13</v>
      </c>
      <c r="M25" s="5" t="s">
        <v>14</v>
      </c>
      <c r="N25" s="5" t="s">
        <v>15</v>
      </c>
      <c r="O25" s="5" t="s">
        <v>16</v>
      </c>
      <c r="P25" s="5" t="s">
        <v>17</v>
      </c>
      <c r="Q25" s="5" t="s">
        <v>18</v>
      </c>
      <c r="R25" s="5" t="s">
        <v>19</v>
      </c>
      <c r="S25" s="5" t="s">
        <v>20</v>
      </c>
      <c r="T25" s="5" t="s">
        <v>21</v>
      </c>
      <c r="U25" s="5" t="s">
        <v>22</v>
      </c>
      <c r="V25" s="10" t="s">
        <v>23</v>
      </c>
    </row>
    <row r="26" spans="1:22" s="3" customFormat="1" ht="30" customHeight="1" thickBot="1" x14ac:dyDescent="0.25">
      <c r="A26" s="6" t="s">
        <v>24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1">
        <f t="shared" ref="V26:V30" si="2">SUM(B26:U26)</f>
        <v>0</v>
      </c>
    </row>
    <row r="27" spans="1:22" s="3" customFormat="1" ht="30" customHeight="1" thickBot="1" x14ac:dyDescent="0.25">
      <c r="A27" s="6" t="s">
        <v>25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1">
        <f t="shared" si="2"/>
        <v>0</v>
      </c>
    </row>
    <row r="28" spans="1:22" s="3" customFormat="1" ht="30" customHeight="1" thickBot="1" x14ac:dyDescent="0.25">
      <c r="A28" s="6" t="s">
        <v>26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1">
        <f t="shared" si="2"/>
        <v>0</v>
      </c>
    </row>
    <row r="29" spans="1:22" s="3" customFormat="1" ht="30" customHeight="1" thickBot="1" x14ac:dyDescent="0.25">
      <c r="A29" s="6" t="s">
        <v>33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12"/>
      <c r="Q29" s="7"/>
      <c r="R29" s="7"/>
      <c r="S29" s="7"/>
      <c r="T29" s="7"/>
      <c r="U29" s="7"/>
      <c r="V29" s="11">
        <f t="shared" si="2"/>
        <v>0</v>
      </c>
    </row>
    <row r="30" spans="1:22" s="3" customFormat="1" ht="30" customHeight="1" thickBot="1" x14ac:dyDescent="0.25">
      <c r="A30" s="6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11">
        <f t="shared" si="2"/>
        <v>0</v>
      </c>
    </row>
    <row r="31" spans="1:22" ht="16" x14ac:dyDescent="0.2">
      <c r="A31" s="8"/>
      <c r="B31" s="13"/>
      <c r="C31" s="13"/>
      <c r="D31" s="13"/>
      <c r="E31" s="13"/>
      <c r="F31" s="13"/>
      <c r="G31" s="8"/>
      <c r="H31" s="8"/>
    </row>
    <row r="32" spans="1:22" ht="16" x14ac:dyDescent="0.2">
      <c r="A32" s="8"/>
      <c r="B32" s="8"/>
      <c r="C32" s="8"/>
      <c r="D32" s="8"/>
      <c r="E32" s="8"/>
      <c r="F32" s="8"/>
      <c r="G32" s="8"/>
      <c r="H32" s="8"/>
    </row>
    <row r="33" spans="1:22" ht="17" x14ac:dyDescent="0.2">
      <c r="A33" s="14" t="s">
        <v>37</v>
      </c>
      <c r="B33" s="15"/>
      <c r="C33" s="3"/>
      <c r="D33" s="14" t="s">
        <v>38</v>
      </c>
      <c r="E33" s="16"/>
      <c r="F33" s="15"/>
      <c r="G33" s="3"/>
      <c r="H33" s="14" t="s">
        <v>39</v>
      </c>
      <c r="I33" s="16"/>
      <c r="J33" s="15"/>
      <c r="K33" s="2"/>
      <c r="M33" s="17" t="s">
        <v>40</v>
      </c>
      <c r="N33" s="17" t="s">
        <v>41</v>
      </c>
      <c r="O33" s="17" t="s">
        <v>42</v>
      </c>
      <c r="P33" s="17" t="s">
        <v>43</v>
      </c>
      <c r="Q33" s="17" t="s">
        <v>44</v>
      </c>
      <c r="R33" s="14" t="s">
        <v>45</v>
      </c>
      <c r="S33" s="16"/>
      <c r="T33" s="15"/>
    </row>
    <row r="34" spans="1:22" ht="17" x14ac:dyDescent="0.2">
      <c r="A34" s="18"/>
      <c r="B34" s="19" t="s">
        <v>46</v>
      </c>
      <c r="C34" s="3"/>
      <c r="D34" s="18"/>
      <c r="E34" s="20"/>
      <c r="F34" s="19" t="s">
        <v>46</v>
      </c>
      <c r="G34" s="3"/>
      <c r="H34" s="18"/>
      <c r="I34" s="20"/>
      <c r="J34" s="19" t="s">
        <v>46</v>
      </c>
      <c r="K34" s="21"/>
      <c r="M34" s="22"/>
      <c r="N34" s="22"/>
      <c r="O34" s="22" t="s">
        <v>47</v>
      </c>
      <c r="P34" s="22" t="s">
        <v>48</v>
      </c>
      <c r="Q34" s="22" t="s">
        <v>49</v>
      </c>
      <c r="R34" s="18"/>
      <c r="S34" s="23"/>
      <c r="T34" s="24"/>
    </row>
    <row r="35" spans="1:22" ht="17" x14ac:dyDescent="0.2">
      <c r="A35" s="25" t="s">
        <v>24</v>
      </c>
      <c r="B35" s="26">
        <f>INT(V26/9)</f>
        <v>0</v>
      </c>
      <c r="C35">
        <f>B35-F35-J35</f>
        <v>0</v>
      </c>
      <c r="D35" s="25" t="s">
        <v>24</v>
      </c>
      <c r="E35" s="26">
        <f>SUM(B26:M26)</f>
        <v>0</v>
      </c>
      <c r="F35" s="27">
        <f>INT(E35/9)</f>
        <v>0</v>
      </c>
      <c r="G35" s="28"/>
      <c r="H35" s="25" t="s">
        <v>24</v>
      </c>
      <c r="I35" s="26">
        <f>SUM(N26:U26)</f>
        <v>0</v>
      </c>
      <c r="J35" s="27">
        <f>INT(I35/9)</f>
        <v>0</v>
      </c>
      <c r="K35" s="21"/>
      <c r="M35" s="29">
        <f>(C26+D26+K26)/9</f>
        <v>0</v>
      </c>
      <c r="N35" s="29">
        <f>(E26+F26+G26)/9</f>
        <v>0</v>
      </c>
      <c r="O35" s="29">
        <f>(B26+I26+J26+H26+L26)/9</f>
        <v>0</v>
      </c>
      <c r="P35" s="29">
        <f>(O26+N26+U26+T26)/9</f>
        <v>0</v>
      </c>
      <c r="Q35" s="29">
        <f>(P26+Q26+R26+S26)/9</f>
        <v>0</v>
      </c>
      <c r="R35" s="25" t="s">
        <v>24</v>
      </c>
      <c r="S35" s="30"/>
      <c r="T35" s="27"/>
      <c r="U35" s="25" t="s">
        <v>24</v>
      </c>
      <c r="V35" s="31" t="s">
        <v>50</v>
      </c>
    </row>
    <row r="36" spans="1:22" ht="17" x14ac:dyDescent="0.2">
      <c r="A36" s="25" t="s">
        <v>25</v>
      </c>
      <c r="B36" s="26">
        <f>INT(V27/8)</f>
        <v>0</v>
      </c>
      <c r="C36">
        <f t="shared" ref="C36:C39" si="3">B36-F36-J36</f>
        <v>0</v>
      </c>
      <c r="D36" s="25" t="s">
        <v>25</v>
      </c>
      <c r="E36" s="26">
        <f>SUM(B27:M27)</f>
        <v>0</v>
      </c>
      <c r="F36" s="27">
        <f>INT(E36/8)</f>
        <v>0</v>
      </c>
      <c r="G36" s="28"/>
      <c r="H36" s="25" t="s">
        <v>25</v>
      </c>
      <c r="I36" s="26">
        <f>SUM(N27:U27)</f>
        <v>0</v>
      </c>
      <c r="J36" s="27">
        <f>INT(I36/8)</f>
        <v>0</v>
      </c>
      <c r="K36" s="21"/>
      <c r="M36" s="29">
        <f>(C27+D27+K27)/8</f>
        <v>0</v>
      </c>
      <c r="N36" s="29">
        <f>(E27+F27+G27)/8</f>
        <v>0</v>
      </c>
      <c r="O36" s="29">
        <f>(B27+I27+J27+H27+L27)/8</f>
        <v>0</v>
      </c>
      <c r="P36" s="29">
        <f>(O27+N27+U27+T27)/8</f>
        <v>0</v>
      </c>
      <c r="Q36" s="29">
        <f>(P27+Q27+R27+S27)/8</f>
        <v>0</v>
      </c>
      <c r="R36" s="25" t="s">
        <v>25</v>
      </c>
      <c r="S36" s="30"/>
      <c r="T36" s="27"/>
      <c r="U36" s="25" t="s">
        <v>25</v>
      </c>
      <c r="V36" s="31" t="s">
        <v>51</v>
      </c>
    </row>
    <row r="37" spans="1:22" ht="17" x14ac:dyDescent="0.2">
      <c r="A37" s="25" t="s">
        <v>26</v>
      </c>
      <c r="B37" s="26">
        <f>INT(V28/8)</f>
        <v>0</v>
      </c>
      <c r="C37">
        <f>B37-F37-J37</f>
        <v>0</v>
      </c>
      <c r="D37" s="25" t="s">
        <v>26</v>
      </c>
      <c r="E37" s="26">
        <f>SUM(B28:M28)</f>
        <v>0</v>
      </c>
      <c r="F37" s="27">
        <f>INT(E37/8)</f>
        <v>0</v>
      </c>
      <c r="G37" s="28"/>
      <c r="H37" s="25" t="s">
        <v>26</v>
      </c>
      <c r="I37" s="26">
        <f>SUM(N28:U28)</f>
        <v>0</v>
      </c>
      <c r="J37" s="27">
        <f>INT(I37/8)</f>
        <v>0</v>
      </c>
      <c r="M37" s="29">
        <f>(C28+D28+K28)/8</f>
        <v>0</v>
      </c>
      <c r="N37" s="29">
        <f>(E28+F28+G28)/8</f>
        <v>0</v>
      </c>
      <c r="O37" s="29">
        <f>(B28+I28+J28+H28+L28)/8</f>
        <v>0</v>
      </c>
      <c r="P37" s="29">
        <f>(O28+N28+U28+T28)/8</f>
        <v>0</v>
      </c>
      <c r="Q37" s="29">
        <f>(P28+Q28+R28+S28)/8</f>
        <v>0</v>
      </c>
      <c r="R37" s="25" t="s">
        <v>26</v>
      </c>
      <c r="S37" s="30"/>
      <c r="T37" s="27"/>
      <c r="U37" s="25" t="s">
        <v>26</v>
      </c>
      <c r="V37" s="31" t="s">
        <v>51</v>
      </c>
    </row>
    <row r="38" spans="1:22" ht="17" x14ac:dyDescent="0.2">
      <c r="A38" s="25" t="s">
        <v>33</v>
      </c>
      <c r="B38" s="26">
        <f>INT(V29/30)</f>
        <v>0</v>
      </c>
      <c r="C38">
        <f t="shared" si="3"/>
        <v>0</v>
      </c>
      <c r="D38" s="25" t="s">
        <v>33</v>
      </c>
      <c r="E38" s="26">
        <f>SUM(B29:M29)</f>
        <v>0</v>
      </c>
      <c r="F38" s="27">
        <f>INT(E38/30)</f>
        <v>0</v>
      </c>
      <c r="H38" s="25" t="s">
        <v>33</v>
      </c>
      <c r="I38" s="26">
        <f>SUM(N29:U29)</f>
        <v>0</v>
      </c>
      <c r="J38" s="27">
        <f>INT(I38/30)</f>
        <v>0</v>
      </c>
      <c r="M38" s="29">
        <f t="shared" ref="M38:M39" si="4">(C29+D29+K29)/84</f>
        <v>0</v>
      </c>
      <c r="N38" s="29">
        <f t="shared" ref="N38:N39" si="5">(E29+F29+G29)/84</f>
        <v>0</v>
      </c>
      <c r="O38" s="29">
        <f t="shared" ref="O38:O39" si="6">(B29+I29+J29+H29+L29)/84</f>
        <v>0</v>
      </c>
      <c r="P38" s="29">
        <f t="shared" ref="P38:P39" si="7">(O29+N29+U29+T29)/84</f>
        <v>0</v>
      </c>
      <c r="Q38" s="29">
        <f t="shared" ref="Q38:Q39" si="8">(P29+Q29+R29+S29)/84</f>
        <v>0</v>
      </c>
      <c r="R38" s="25" t="s">
        <v>33</v>
      </c>
      <c r="S38" s="30"/>
      <c r="T38" s="27"/>
      <c r="U38" s="25" t="s">
        <v>33</v>
      </c>
      <c r="V38" s="31"/>
    </row>
    <row r="39" spans="1:22" ht="17" x14ac:dyDescent="0.2">
      <c r="A39" s="25" t="s">
        <v>34</v>
      </c>
      <c r="B39" s="26">
        <f>INT(V30/18)</f>
        <v>0</v>
      </c>
      <c r="C39">
        <f t="shared" si="3"/>
        <v>0</v>
      </c>
      <c r="D39" s="25" t="s">
        <v>34</v>
      </c>
      <c r="E39" s="26">
        <f>SUM(B30:M30)</f>
        <v>0</v>
      </c>
      <c r="F39" s="27">
        <f>INT(E39/18)</f>
        <v>0</v>
      </c>
      <c r="H39" s="25" t="s">
        <v>34</v>
      </c>
      <c r="I39" s="26">
        <f>SUM(N30:U30)</f>
        <v>0</v>
      </c>
      <c r="J39" s="27">
        <f>INT(I39/18)</f>
        <v>0</v>
      </c>
      <c r="M39" s="29">
        <f t="shared" si="4"/>
        <v>0</v>
      </c>
      <c r="N39" s="29">
        <f t="shared" si="5"/>
        <v>0</v>
      </c>
      <c r="O39" s="29">
        <f t="shared" si="6"/>
        <v>0</v>
      </c>
      <c r="P39" s="29">
        <f t="shared" si="7"/>
        <v>0</v>
      </c>
      <c r="Q39" s="29">
        <f t="shared" si="8"/>
        <v>0</v>
      </c>
      <c r="R39" s="25" t="s">
        <v>34</v>
      </c>
      <c r="S39" s="30"/>
      <c r="T39" s="27"/>
      <c r="U39" s="25" t="s">
        <v>34</v>
      </c>
      <c r="V39" s="31"/>
    </row>
    <row r="40" spans="1:22" ht="17" x14ac:dyDescent="0.2">
      <c r="O40" s="3"/>
    </row>
  </sheetData>
  <mergeCells count="1">
    <mergeCell ref="F1:G1"/>
  </mergeCells>
  <pageMargins left="0.7" right="0.7" top="0.75" bottom="0.75" header="0.3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3922-B2D4-451C-861C-6F669B10276E}">
  <sheetPr>
    <pageSetUpPr fitToPage="1"/>
  </sheetPr>
  <dimension ref="A1:W37"/>
  <sheetViews>
    <sheetView tabSelected="1" zoomScale="75" zoomScaleNormal="85" workbookViewId="0">
      <selection activeCell="A7" sqref="A7"/>
    </sheetView>
  </sheetViews>
  <sheetFormatPr baseColWidth="10" defaultRowHeight="15" x14ac:dyDescent="0.2"/>
  <cols>
    <col min="1" max="1" width="14.33203125" customWidth="1"/>
    <col min="2" max="21" width="12.5" customWidth="1"/>
    <col min="22" max="22" width="9.6640625" bestFit="1" customWidth="1"/>
  </cols>
  <sheetData>
    <row r="1" spans="1:22" s="3" customFormat="1" ht="30" customHeight="1" thickBot="1" x14ac:dyDescent="0.25">
      <c r="A1" s="1" t="s">
        <v>0</v>
      </c>
      <c r="B1" s="2"/>
      <c r="C1" s="2" t="s">
        <v>1</v>
      </c>
      <c r="E1" s="2" t="s">
        <v>2</v>
      </c>
      <c r="F1" s="36">
        <v>45878</v>
      </c>
      <c r="G1" s="36"/>
      <c r="H1" s="4">
        <v>0.85416666666666663</v>
      </c>
    </row>
    <row r="2" spans="1:22" s="3" customFormat="1" ht="30" customHeight="1" thickBot="1" x14ac:dyDescent="0.25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</row>
    <row r="3" spans="1:22" s="3" customFormat="1" ht="30" customHeight="1" thickBot="1" x14ac:dyDescent="0.25">
      <c r="A3" s="35" t="s">
        <v>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>
        <f>SUM(B3:U3)</f>
        <v>0</v>
      </c>
    </row>
    <row r="4" spans="1:22" s="3" customFormat="1" ht="30" customHeight="1" thickBot="1" x14ac:dyDescent="0.25">
      <c r="A4" s="35" t="s">
        <v>76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f t="shared" ref="V4:V8" si="0">SUM(B4:U4)</f>
        <v>0</v>
      </c>
    </row>
    <row r="5" spans="1:22" s="3" customFormat="1" ht="30" customHeight="1" thickBot="1" x14ac:dyDescent="0.25">
      <c r="A5" s="35" t="s">
        <v>54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>
        <f t="shared" si="0"/>
        <v>0</v>
      </c>
    </row>
    <row r="6" spans="1:22" s="3" customFormat="1" ht="30" customHeight="1" thickBot="1" x14ac:dyDescent="0.25">
      <c r="A6" s="35" t="s">
        <v>77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>
        <f t="shared" si="0"/>
        <v>0</v>
      </c>
    </row>
    <row r="7" spans="1:22" s="3" customFormat="1" ht="30" customHeight="1" thickBot="1" x14ac:dyDescent="0.25">
      <c r="A7" s="35" t="s">
        <v>56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f t="shared" si="0"/>
        <v>0</v>
      </c>
    </row>
    <row r="8" spans="1:22" s="3" customFormat="1" ht="30" customHeight="1" thickBot="1" x14ac:dyDescent="0.25">
      <c r="A8" s="35" t="s">
        <v>57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f t="shared" si="0"/>
        <v>0</v>
      </c>
    </row>
    <row r="10" spans="1:22" s="3" customFormat="1" ht="30" customHeight="1" thickBot="1" x14ac:dyDescent="0.25">
      <c r="A10" s="1" t="s">
        <v>35</v>
      </c>
      <c r="B10" s="2"/>
    </row>
    <row r="11" spans="1:22" s="3" customFormat="1" ht="30" customHeight="1" thickBot="1" x14ac:dyDescent="0.25"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  <c r="K11" s="5" t="s">
        <v>12</v>
      </c>
      <c r="L11" s="5" t="s">
        <v>13</v>
      </c>
      <c r="M11" s="5" t="s">
        <v>14</v>
      </c>
      <c r="N11" s="5" t="s">
        <v>15</v>
      </c>
      <c r="O11" s="5" t="s">
        <v>16</v>
      </c>
      <c r="P11" s="5" t="s">
        <v>17</v>
      </c>
      <c r="Q11" s="5" t="s">
        <v>18</v>
      </c>
      <c r="R11" s="5" t="s">
        <v>19</v>
      </c>
      <c r="S11" s="5" t="s">
        <v>20</v>
      </c>
      <c r="T11" s="5" t="s">
        <v>21</v>
      </c>
      <c r="U11" s="5" t="s">
        <v>22</v>
      </c>
      <c r="V11" s="5" t="s">
        <v>23</v>
      </c>
    </row>
    <row r="12" spans="1:22" s="3" customFormat="1" ht="30" customHeight="1" thickBot="1" x14ac:dyDescent="0.25">
      <c r="A12" s="6" t="s">
        <v>52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f t="shared" ref="V12:V17" si="1">SUM(B12:U12)</f>
        <v>0</v>
      </c>
    </row>
    <row r="13" spans="1:22" s="3" customFormat="1" ht="30" customHeight="1" thickBot="1" x14ac:dyDescent="0.25">
      <c r="A13" s="6" t="s">
        <v>53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f t="shared" si="1"/>
        <v>0</v>
      </c>
    </row>
    <row r="14" spans="1:22" s="3" customFormat="1" ht="30" customHeight="1" thickBot="1" x14ac:dyDescent="0.25">
      <c r="A14" s="6" t="s">
        <v>54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f t="shared" si="1"/>
        <v>0</v>
      </c>
    </row>
    <row r="15" spans="1:22" s="3" customFormat="1" ht="30" customHeight="1" thickBot="1" x14ac:dyDescent="0.25">
      <c r="A15" s="6" t="s">
        <v>55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f t="shared" si="1"/>
        <v>0</v>
      </c>
    </row>
    <row r="16" spans="1:22" s="3" customFormat="1" ht="30" customHeight="1" thickBot="1" x14ac:dyDescent="0.25">
      <c r="A16" s="6" t="s">
        <v>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f t="shared" si="1"/>
        <v>0</v>
      </c>
    </row>
    <row r="17" spans="1:23" s="3" customFormat="1" ht="30" customHeight="1" thickBot="1" x14ac:dyDescent="0.25">
      <c r="A17" s="6" t="s">
        <v>57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f t="shared" si="1"/>
        <v>0</v>
      </c>
    </row>
    <row r="19" spans="1:23" s="3" customFormat="1" ht="30" customHeight="1" thickBot="1" x14ac:dyDescent="0.25">
      <c r="A19" s="1" t="s">
        <v>36</v>
      </c>
      <c r="L19" s="9"/>
      <c r="M19" s="9"/>
      <c r="N19" s="9"/>
      <c r="O19" s="9"/>
      <c r="P19" s="9"/>
      <c r="Q19" s="9"/>
      <c r="R19" s="9"/>
      <c r="S19" s="9"/>
    </row>
    <row r="20" spans="1:23" s="3" customFormat="1" ht="30" customHeight="1" thickBot="1" x14ac:dyDescent="0.25">
      <c r="B20" s="5" t="s">
        <v>3</v>
      </c>
      <c r="C20" s="5" t="s">
        <v>4</v>
      </c>
      <c r="D20" s="5" t="s">
        <v>5</v>
      </c>
      <c r="E20" s="5" t="s">
        <v>6</v>
      </c>
      <c r="F20" s="5" t="s">
        <v>7</v>
      </c>
      <c r="G20" s="5" t="s">
        <v>8</v>
      </c>
      <c r="H20" s="5" t="s">
        <v>9</v>
      </c>
      <c r="I20" s="5" t="s">
        <v>10</v>
      </c>
      <c r="J20" s="5" t="s">
        <v>11</v>
      </c>
      <c r="K20" s="5" t="s">
        <v>12</v>
      </c>
      <c r="L20" s="5" t="s">
        <v>13</v>
      </c>
      <c r="M20" s="5" t="s">
        <v>14</v>
      </c>
      <c r="N20" s="5" t="s">
        <v>15</v>
      </c>
      <c r="O20" s="5" t="s">
        <v>16</v>
      </c>
      <c r="P20" s="5" t="s">
        <v>17</v>
      </c>
      <c r="Q20" s="5" t="s">
        <v>18</v>
      </c>
      <c r="R20" s="5" t="s">
        <v>19</v>
      </c>
      <c r="S20" s="5" t="s">
        <v>20</v>
      </c>
      <c r="T20" s="5" t="s">
        <v>21</v>
      </c>
      <c r="U20" s="5" t="s">
        <v>22</v>
      </c>
      <c r="V20" s="10" t="s">
        <v>23</v>
      </c>
    </row>
    <row r="21" spans="1:23" s="3" customFormat="1" ht="30" customHeight="1" thickBot="1" x14ac:dyDescent="0.25">
      <c r="A21" s="6" t="s">
        <v>52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11">
        <f t="shared" ref="V21:V26" si="2">SUM(B21:U21)</f>
        <v>0</v>
      </c>
      <c r="W21" s="31"/>
    </row>
    <row r="22" spans="1:23" s="3" customFormat="1" ht="30" customHeight="1" thickBot="1" x14ac:dyDescent="0.25">
      <c r="A22" s="6" t="s">
        <v>53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1">
        <f>SUM(B22:U22)</f>
        <v>0</v>
      </c>
      <c r="W22" s="31"/>
    </row>
    <row r="23" spans="1:23" s="3" customFormat="1" ht="30" customHeight="1" thickBot="1" x14ac:dyDescent="0.25">
      <c r="A23" s="6" t="s">
        <v>54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1">
        <f>SUM(B23:U23)</f>
        <v>0</v>
      </c>
      <c r="W23" s="31"/>
    </row>
    <row r="24" spans="1:23" s="3" customFormat="1" ht="30" customHeight="1" thickBot="1" x14ac:dyDescent="0.25">
      <c r="A24" s="6" t="s">
        <v>55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1">
        <f>SUM(B24:U24)</f>
        <v>0</v>
      </c>
      <c r="W24" s="31"/>
    </row>
    <row r="25" spans="1:23" s="3" customFormat="1" ht="30" customHeight="1" thickBot="1" x14ac:dyDescent="0.25">
      <c r="A25" s="6" t="s">
        <v>56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1">
        <f t="shared" si="2"/>
        <v>0</v>
      </c>
      <c r="W25" s="31"/>
    </row>
    <row r="26" spans="1:23" s="3" customFormat="1" ht="30" customHeight="1" thickBot="1" x14ac:dyDescent="0.25">
      <c r="A26" s="6" t="s">
        <v>57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1">
        <f t="shared" si="2"/>
        <v>0</v>
      </c>
      <c r="W26" s="31"/>
    </row>
    <row r="29" spans="1:23" ht="17" x14ac:dyDescent="0.2">
      <c r="A29" s="14" t="s">
        <v>37</v>
      </c>
      <c r="B29" s="15"/>
      <c r="C29" s="3"/>
      <c r="D29" s="14" t="s">
        <v>38</v>
      </c>
      <c r="E29" s="16"/>
      <c r="F29" s="15"/>
      <c r="G29" s="3"/>
      <c r="H29" s="14" t="s">
        <v>39</v>
      </c>
      <c r="I29" s="16"/>
      <c r="J29" s="15"/>
      <c r="K29" s="2"/>
      <c r="M29" s="17" t="s">
        <v>40</v>
      </c>
      <c r="N29" s="17" t="s">
        <v>41</v>
      </c>
      <c r="O29" s="17" t="s">
        <v>42</v>
      </c>
      <c r="P29" s="17" t="s">
        <v>43</v>
      </c>
      <c r="Q29" s="17" t="s">
        <v>44</v>
      </c>
      <c r="R29" s="14" t="s">
        <v>45</v>
      </c>
      <c r="S29" s="16"/>
      <c r="T29" s="15"/>
    </row>
    <row r="30" spans="1:23" ht="17" x14ac:dyDescent="0.2">
      <c r="A30" s="18"/>
      <c r="B30" s="19" t="s">
        <v>46</v>
      </c>
      <c r="C30" s="3"/>
      <c r="D30" s="18"/>
      <c r="E30" s="20"/>
      <c r="F30" s="19" t="s">
        <v>46</v>
      </c>
      <c r="G30" s="3"/>
      <c r="H30" s="18"/>
      <c r="I30" s="20"/>
      <c r="J30" s="19" t="s">
        <v>46</v>
      </c>
      <c r="K30" s="32"/>
      <c r="M30" s="22"/>
      <c r="N30" s="22"/>
      <c r="O30" s="22" t="s">
        <v>47</v>
      </c>
      <c r="P30" s="22" t="s">
        <v>48</v>
      </c>
      <c r="Q30" s="22" t="s">
        <v>49</v>
      </c>
      <c r="R30" s="18"/>
      <c r="S30" s="23"/>
      <c r="T30" s="24"/>
    </row>
    <row r="31" spans="1:23" ht="17" x14ac:dyDescent="0.2">
      <c r="A31" s="25" t="s">
        <v>52</v>
      </c>
      <c r="B31" s="26">
        <f>INT(V21/84)</f>
        <v>0</v>
      </c>
      <c r="C31">
        <f>B31-F31-J31</f>
        <v>0</v>
      </c>
      <c r="D31" s="25" t="s">
        <v>52</v>
      </c>
      <c r="E31" s="26">
        <f>SUM(B21:M21)</f>
        <v>0</v>
      </c>
      <c r="F31" s="27">
        <f>INT(E31/84)</f>
        <v>0</v>
      </c>
      <c r="H31" s="25" t="s">
        <v>52</v>
      </c>
      <c r="I31" s="26">
        <f t="shared" ref="I31:I36" si="3">SUM(N21:U21)</f>
        <v>0</v>
      </c>
      <c r="J31" s="27">
        <f>INT(I31/84)</f>
        <v>0</v>
      </c>
      <c r="M31" s="29">
        <f>(C21+D21+K21)/84</f>
        <v>0</v>
      </c>
      <c r="N31" s="29">
        <f>(E21+F21+G21)/84</f>
        <v>0</v>
      </c>
      <c r="O31" s="29">
        <f>(B21+I21+J21+H21+L21)/84</f>
        <v>0</v>
      </c>
      <c r="P31" s="29">
        <f>(O21+N21+U21+T21)/84</f>
        <v>0</v>
      </c>
      <c r="Q31" s="29">
        <f>(P21+Q21+R21+S21)/84</f>
        <v>0</v>
      </c>
      <c r="R31" s="25" t="s">
        <v>52</v>
      </c>
      <c r="S31" s="30"/>
      <c r="T31" s="27"/>
      <c r="U31" s="25" t="s">
        <v>52</v>
      </c>
      <c r="V31" s="31" t="s">
        <v>58</v>
      </c>
    </row>
    <row r="32" spans="1:23" ht="17" x14ac:dyDescent="0.2">
      <c r="A32" s="25" t="s">
        <v>53</v>
      </c>
      <c r="B32" s="26">
        <f>INT(V22/84)</f>
        <v>0</v>
      </c>
      <c r="C32">
        <f t="shared" ref="C32:C36" si="4">B32-F32-J32</f>
        <v>0</v>
      </c>
      <c r="D32" s="25" t="s">
        <v>53</v>
      </c>
      <c r="E32" s="26">
        <f t="shared" ref="E32:E36" si="5">SUM(B22:M22)</f>
        <v>0</v>
      </c>
      <c r="F32" s="27">
        <f>INT(E32/84)</f>
        <v>0</v>
      </c>
      <c r="H32" s="25" t="s">
        <v>53</v>
      </c>
      <c r="I32" s="26">
        <f t="shared" si="3"/>
        <v>0</v>
      </c>
      <c r="J32" s="27">
        <f t="shared" ref="J32:J33" si="6">INT(I32/84)</f>
        <v>0</v>
      </c>
      <c r="M32" s="29">
        <f t="shared" ref="M32:M36" si="7">(C22+D22+K22)/84</f>
        <v>0</v>
      </c>
      <c r="N32" s="29">
        <f t="shared" ref="N32:N36" si="8">(E22+F22+G22)/84</f>
        <v>0</v>
      </c>
      <c r="O32" s="29">
        <f t="shared" ref="O32:O36" si="9">(B22+I22+J22+H22+L22)/84</f>
        <v>0</v>
      </c>
      <c r="P32" s="29">
        <f t="shared" ref="P32:P36" si="10">(O22+N22+U22+T22)/84</f>
        <v>0</v>
      </c>
      <c r="Q32" s="29">
        <f>(P22+Q22+R22+S22)/84</f>
        <v>0</v>
      </c>
      <c r="R32" s="25" t="s">
        <v>53</v>
      </c>
      <c r="S32" s="30"/>
      <c r="T32" s="27"/>
      <c r="U32" s="25" t="s">
        <v>53</v>
      </c>
      <c r="V32" s="31" t="s">
        <v>58</v>
      </c>
    </row>
    <row r="33" spans="1:22" ht="17" x14ac:dyDescent="0.2">
      <c r="A33" s="25" t="s">
        <v>54</v>
      </c>
      <c r="B33" s="26">
        <f>INT(V23/84)</f>
        <v>0</v>
      </c>
      <c r="C33">
        <f t="shared" si="4"/>
        <v>0</v>
      </c>
      <c r="D33" s="25" t="s">
        <v>54</v>
      </c>
      <c r="E33" s="26">
        <f t="shared" si="5"/>
        <v>0</v>
      </c>
      <c r="F33" s="27">
        <f t="shared" ref="F33" si="11">INT(E33/84)</f>
        <v>0</v>
      </c>
      <c r="H33" s="25" t="s">
        <v>54</v>
      </c>
      <c r="I33" s="26">
        <f t="shared" si="3"/>
        <v>0</v>
      </c>
      <c r="J33" s="27">
        <f t="shared" si="6"/>
        <v>0</v>
      </c>
      <c r="M33" s="29">
        <f t="shared" si="7"/>
        <v>0</v>
      </c>
      <c r="N33" s="29">
        <f t="shared" si="8"/>
        <v>0</v>
      </c>
      <c r="O33" s="29">
        <f t="shared" si="9"/>
        <v>0</v>
      </c>
      <c r="P33" s="29">
        <f t="shared" si="10"/>
        <v>0</v>
      </c>
      <c r="Q33" s="29">
        <f>(P23+Q23+R23+S23)/84</f>
        <v>0</v>
      </c>
      <c r="R33" s="25" t="s">
        <v>54</v>
      </c>
      <c r="S33" s="30"/>
      <c r="T33" s="27"/>
      <c r="U33" s="25" t="s">
        <v>54</v>
      </c>
      <c r="V33" s="31" t="s">
        <v>58</v>
      </c>
    </row>
    <row r="34" spans="1:22" ht="17" x14ac:dyDescent="0.2">
      <c r="A34" s="25" t="s">
        <v>55</v>
      </c>
      <c r="B34" s="26">
        <f>INT(V24/96)</f>
        <v>0</v>
      </c>
      <c r="C34">
        <f t="shared" si="4"/>
        <v>0</v>
      </c>
      <c r="D34" s="25" t="s">
        <v>55</v>
      </c>
      <c r="E34" s="26">
        <f t="shared" si="5"/>
        <v>0</v>
      </c>
      <c r="F34" s="27">
        <f>INT(E34/96)</f>
        <v>0</v>
      </c>
      <c r="H34" s="25" t="s">
        <v>55</v>
      </c>
      <c r="I34" s="26">
        <f t="shared" si="3"/>
        <v>0</v>
      </c>
      <c r="J34" s="27">
        <f>INT(I34/96)</f>
        <v>0</v>
      </c>
      <c r="M34" s="29">
        <f>(C24+D24+K24)/96</f>
        <v>0</v>
      </c>
      <c r="N34" s="29">
        <f>(E24+F24+G24)/96</f>
        <v>0</v>
      </c>
      <c r="O34" s="29">
        <f>(B24+I24+J24+H24+L24)/96</f>
        <v>0</v>
      </c>
      <c r="P34" s="29">
        <f>(O24+N24+U24+T24)/96</f>
        <v>0</v>
      </c>
      <c r="Q34" s="29">
        <f>(P24+Q24+R24+S24)/96</f>
        <v>0</v>
      </c>
      <c r="R34" s="25" t="s">
        <v>55</v>
      </c>
      <c r="S34" s="30"/>
      <c r="T34" s="27"/>
      <c r="U34" s="25" t="s">
        <v>55</v>
      </c>
      <c r="V34" s="31" t="s">
        <v>59</v>
      </c>
    </row>
    <row r="35" spans="1:22" ht="17" x14ac:dyDescent="0.2">
      <c r="A35" s="25" t="s">
        <v>56</v>
      </c>
      <c r="B35" s="26">
        <f>INT(V25/96)</f>
        <v>0</v>
      </c>
      <c r="C35">
        <f t="shared" si="4"/>
        <v>0</v>
      </c>
      <c r="D35" s="25" t="s">
        <v>56</v>
      </c>
      <c r="E35" s="26">
        <f t="shared" si="5"/>
        <v>0</v>
      </c>
      <c r="F35" s="27">
        <f>INT(E35/96)</f>
        <v>0</v>
      </c>
      <c r="H35" s="25" t="s">
        <v>56</v>
      </c>
      <c r="I35" s="26">
        <f t="shared" si="3"/>
        <v>0</v>
      </c>
      <c r="J35" s="27">
        <f>INT(I35/96)</f>
        <v>0</v>
      </c>
      <c r="M35" s="29">
        <f>(C25+D25+K25)/96</f>
        <v>0</v>
      </c>
      <c r="N35" s="29">
        <f>(E25+F25+G25)/96</f>
        <v>0</v>
      </c>
      <c r="O35" s="29">
        <f>(B25+I25+J25+H25+L25)/96</f>
        <v>0</v>
      </c>
      <c r="P35" s="29">
        <f>(O25+N25+U25+T25)/96</f>
        <v>0</v>
      </c>
      <c r="Q35" s="29">
        <f>(P25+Q25+R25+S25)/96</f>
        <v>0</v>
      </c>
      <c r="R35" s="25" t="s">
        <v>56</v>
      </c>
      <c r="S35" s="30"/>
      <c r="T35" s="27"/>
      <c r="U35" s="25" t="s">
        <v>56</v>
      </c>
      <c r="V35" s="31" t="s">
        <v>59</v>
      </c>
    </row>
    <row r="36" spans="1:22" ht="17" x14ac:dyDescent="0.2">
      <c r="A36" s="25" t="s">
        <v>57</v>
      </c>
      <c r="B36" s="26">
        <f>INT(V26/84)</f>
        <v>0</v>
      </c>
      <c r="C36">
        <f t="shared" si="4"/>
        <v>0</v>
      </c>
      <c r="D36" s="25" t="s">
        <v>57</v>
      </c>
      <c r="E36" s="26">
        <f t="shared" si="5"/>
        <v>0</v>
      </c>
      <c r="F36" s="27">
        <f>INT(E36/84)</f>
        <v>0</v>
      </c>
      <c r="H36" s="25" t="s">
        <v>57</v>
      </c>
      <c r="I36" s="26">
        <f t="shared" si="3"/>
        <v>0</v>
      </c>
      <c r="J36" s="27">
        <f>INT(I36/84)</f>
        <v>0</v>
      </c>
      <c r="M36" s="29">
        <f t="shared" si="7"/>
        <v>0</v>
      </c>
      <c r="N36" s="29">
        <f t="shared" si="8"/>
        <v>0</v>
      </c>
      <c r="O36" s="29">
        <f t="shared" si="9"/>
        <v>0</v>
      </c>
      <c r="P36" s="29">
        <f t="shared" si="10"/>
        <v>0</v>
      </c>
      <c r="Q36" s="29">
        <f>(P26+Q26+R26+S26)/84</f>
        <v>0</v>
      </c>
      <c r="R36" s="25" t="s">
        <v>57</v>
      </c>
      <c r="S36" s="30"/>
      <c r="T36" s="27"/>
      <c r="U36" s="25" t="s">
        <v>57</v>
      </c>
      <c r="V36" s="31" t="s">
        <v>58</v>
      </c>
    </row>
    <row r="37" spans="1:22" ht="17" x14ac:dyDescent="0.2">
      <c r="O37" s="3"/>
    </row>
  </sheetData>
  <mergeCells count="1">
    <mergeCell ref="F1:G1"/>
  </mergeCells>
  <pageMargins left="0.7" right="0.7" top="0.75" bottom="0.75" header="0.3" footer="0.3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40AC-2F03-4725-A3FC-7D06702265EB}">
  <sheetPr>
    <pageSetUpPr fitToPage="1"/>
  </sheetPr>
  <dimension ref="A1:V37"/>
  <sheetViews>
    <sheetView zoomScale="62" zoomScaleNormal="85" workbookViewId="0">
      <selection activeCell="C8" sqref="C8"/>
    </sheetView>
  </sheetViews>
  <sheetFormatPr baseColWidth="10" defaultRowHeight="15" x14ac:dyDescent="0.2"/>
  <cols>
    <col min="1" max="1" width="14.33203125" customWidth="1"/>
    <col min="2" max="21" width="12.5" customWidth="1"/>
    <col min="22" max="22" width="9.6640625" bestFit="1" customWidth="1"/>
  </cols>
  <sheetData>
    <row r="1" spans="1:22" s="3" customFormat="1" ht="30" customHeight="1" thickBot="1" x14ac:dyDescent="0.25">
      <c r="A1" s="1" t="s">
        <v>0</v>
      </c>
      <c r="B1" s="2"/>
      <c r="C1" s="2" t="s">
        <v>1</v>
      </c>
      <c r="E1" s="2" t="s">
        <v>2</v>
      </c>
      <c r="F1" s="36">
        <v>45878</v>
      </c>
      <c r="G1" s="36"/>
      <c r="H1" s="4">
        <v>0.85416666666666663</v>
      </c>
    </row>
    <row r="2" spans="1:22" s="3" customFormat="1" ht="30" customHeight="1" thickBot="1" x14ac:dyDescent="0.25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</row>
    <row r="3" spans="1:22" s="3" customFormat="1" ht="30" customHeight="1" thickBot="1" x14ac:dyDescent="0.25">
      <c r="A3" s="35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>
        <f>SUM(B3:U3)</f>
        <v>0</v>
      </c>
    </row>
    <row r="4" spans="1:22" s="3" customFormat="1" ht="30" customHeight="1" thickBot="1" x14ac:dyDescent="0.25">
      <c r="A4" s="35" t="s">
        <v>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f t="shared" ref="V4:V8" si="0">SUM(B4:U4)</f>
        <v>0</v>
      </c>
    </row>
    <row r="5" spans="1:22" s="3" customFormat="1" ht="30" customHeight="1" thickBot="1" x14ac:dyDescent="0.25">
      <c r="A5" s="6" t="s">
        <v>33</v>
      </c>
      <c r="B5" s="7">
        <f t="shared" ref="B5:D8" si="1">B14+B23</f>
        <v>0</v>
      </c>
      <c r="C5" s="7">
        <f t="shared" si="1"/>
        <v>0</v>
      </c>
      <c r="D5" s="7">
        <f t="shared" si="1"/>
        <v>0</v>
      </c>
      <c r="E5" s="7">
        <f t="shared" ref="E5:U8" si="2">E14+E23</f>
        <v>0</v>
      </c>
      <c r="F5" s="7">
        <f t="shared" si="2"/>
        <v>0</v>
      </c>
      <c r="G5" s="7">
        <f t="shared" si="2"/>
        <v>0</v>
      </c>
      <c r="H5" s="7">
        <f t="shared" si="2"/>
        <v>0</v>
      </c>
      <c r="I5" s="7">
        <f t="shared" si="2"/>
        <v>0</v>
      </c>
      <c r="J5" s="7">
        <f t="shared" si="2"/>
        <v>0</v>
      </c>
      <c r="K5" s="7">
        <f t="shared" si="2"/>
        <v>0</v>
      </c>
      <c r="L5" s="7">
        <f t="shared" si="2"/>
        <v>0</v>
      </c>
      <c r="M5" s="7">
        <f t="shared" si="2"/>
        <v>0</v>
      </c>
      <c r="N5" s="7">
        <f t="shared" si="2"/>
        <v>0</v>
      </c>
      <c r="O5" s="7">
        <f t="shared" si="2"/>
        <v>0</v>
      </c>
      <c r="P5" s="7">
        <f t="shared" si="2"/>
        <v>0</v>
      </c>
      <c r="Q5" s="7">
        <f t="shared" si="2"/>
        <v>0</v>
      </c>
      <c r="R5" s="7">
        <f t="shared" si="2"/>
        <v>0</v>
      </c>
      <c r="S5" s="7">
        <f t="shared" si="2"/>
        <v>0</v>
      </c>
      <c r="T5" s="7">
        <f t="shared" si="2"/>
        <v>0</v>
      </c>
      <c r="U5" s="7">
        <f t="shared" si="2"/>
        <v>0</v>
      </c>
      <c r="V5" s="7">
        <f t="shared" si="0"/>
        <v>0</v>
      </c>
    </row>
    <row r="6" spans="1:22" s="3" customFormat="1" ht="30" customHeight="1" thickBot="1" x14ac:dyDescent="0.25">
      <c r="A6" s="6" t="s">
        <v>34</v>
      </c>
      <c r="B6" s="7">
        <f t="shared" si="1"/>
        <v>0</v>
      </c>
      <c r="C6" s="7">
        <f t="shared" si="1"/>
        <v>0</v>
      </c>
      <c r="D6" s="7">
        <f t="shared" si="1"/>
        <v>0</v>
      </c>
      <c r="E6" s="7">
        <f t="shared" si="2"/>
        <v>0</v>
      </c>
      <c r="F6" s="7">
        <f t="shared" si="2"/>
        <v>0</v>
      </c>
      <c r="G6" s="7">
        <f t="shared" si="2"/>
        <v>0</v>
      </c>
      <c r="H6" s="7">
        <f t="shared" si="2"/>
        <v>0</v>
      </c>
      <c r="I6" s="7">
        <f t="shared" si="2"/>
        <v>0</v>
      </c>
      <c r="J6" s="7">
        <f t="shared" si="2"/>
        <v>0</v>
      </c>
      <c r="K6" s="7">
        <f t="shared" si="2"/>
        <v>0</v>
      </c>
      <c r="L6" s="7">
        <f t="shared" si="2"/>
        <v>0</v>
      </c>
      <c r="M6" s="7">
        <f t="shared" si="2"/>
        <v>0</v>
      </c>
      <c r="N6" s="7">
        <f t="shared" si="2"/>
        <v>0</v>
      </c>
      <c r="O6" s="7">
        <f t="shared" si="2"/>
        <v>0</v>
      </c>
      <c r="P6" s="7">
        <f t="shared" si="2"/>
        <v>0</v>
      </c>
      <c r="Q6" s="7">
        <f t="shared" si="2"/>
        <v>0</v>
      </c>
      <c r="R6" s="7">
        <f t="shared" si="2"/>
        <v>0</v>
      </c>
      <c r="S6" s="7">
        <f t="shared" si="2"/>
        <v>0</v>
      </c>
      <c r="T6" s="7">
        <f t="shared" si="2"/>
        <v>0</v>
      </c>
      <c r="U6" s="7">
        <f t="shared" si="2"/>
        <v>0</v>
      </c>
      <c r="V6" s="7">
        <f t="shared" si="0"/>
        <v>0</v>
      </c>
    </row>
    <row r="7" spans="1:22" s="3" customFormat="1" ht="30" customHeight="1" thickBot="1" x14ac:dyDescent="0.25">
      <c r="A7" s="6" t="s">
        <v>62</v>
      </c>
      <c r="B7" s="7">
        <f t="shared" si="1"/>
        <v>0</v>
      </c>
      <c r="C7" s="7">
        <f t="shared" si="1"/>
        <v>0</v>
      </c>
      <c r="D7" s="7">
        <f t="shared" si="1"/>
        <v>0</v>
      </c>
      <c r="E7" s="7">
        <f t="shared" si="2"/>
        <v>0</v>
      </c>
      <c r="F7" s="7">
        <f t="shared" si="2"/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si="2"/>
        <v>0</v>
      </c>
      <c r="O7" s="7">
        <f t="shared" si="2"/>
        <v>0</v>
      </c>
      <c r="P7" s="7">
        <f t="shared" si="2"/>
        <v>0</v>
      </c>
      <c r="Q7" s="7">
        <f t="shared" si="2"/>
        <v>0</v>
      </c>
      <c r="R7" s="7">
        <f t="shared" si="2"/>
        <v>0</v>
      </c>
      <c r="S7" s="7">
        <f t="shared" si="2"/>
        <v>0</v>
      </c>
      <c r="T7" s="7">
        <f t="shared" si="2"/>
        <v>0</v>
      </c>
      <c r="U7" s="7">
        <f t="shared" si="2"/>
        <v>0</v>
      </c>
      <c r="V7" s="7">
        <f t="shared" si="0"/>
        <v>0</v>
      </c>
    </row>
    <row r="8" spans="1:22" s="3" customFormat="1" ht="30" customHeight="1" thickBot="1" x14ac:dyDescent="0.25">
      <c r="A8" s="6" t="s">
        <v>63</v>
      </c>
      <c r="B8" s="7">
        <f t="shared" si="1"/>
        <v>0</v>
      </c>
      <c r="C8" s="7">
        <f t="shared" si="1"/>
        <v>0</v>
      </c>
      <c r="D8" s="7">
        <f t="shared" si="1"/>
        <v>0</v>
      </c>
      <c r="E8" s="7">
        <f t="shared" si="2"/>
        <v>0</v>
      </c>
      <c r="F8" s="7">
        <f t="shared" si="2"/>
        <v>0</v>
      </c>
      <c r="G8" s="7">
        <f t="shared" si="2"/>
        <v>0</v>
      </c>
      <c r="H8" s="7">
        <f t="shared" si="2"/>
        <v>0</v>
      </c>
      <c r="I8" s="7">
        <f t="shared" si="2"/>
        <v>0</v>
      </c>
      <c r="J8" s="7">
        <f t="shared" si="2"/>
        <v>0</v>
      </c>
      <c r="K8" s="7">
        <f t="shared" si="2"/>
        <v>0</v>
      </c>
      <c r="L8" s="7">
        <f t="shared" si="2"/>
        <v>0</v>
      </c>
      <c r="M8" s="7">
        <f t="shared" si="2"/>
        <v>0</v>
      </c>
      <c r="N8" s="7">
        <f t="shared" si="2"/>
        <v>0</v>
      </c>
      <c r="O8" s="7">
        <f t="shared" si="2"/>
        <v>0</v>
      </c>
      <c r="P8" s="7">
        <f t="shared" si="2"/>
        <v>0</v>
      </c>
      <c r="Q8" s="7">
        <f t="shared" si="2"/>
        <v>0</v>
      </c>
      <c r="R8" s="7">
        <f t="shared" si="2"/>
        <v>0</v>
      </c>
      <c r="S8" s="7">
        <f t="shared" si="2"/>
        <v>0</v>
      </c>
      <c r="T8" s="7">
        <f t="shared" si="2"/>
        <v>0</v>
      </c>
      <c r="U8" s="7">
        <f t="shared" si="2"/>
        <v>0</v>
      </c>
      <c r="V8" s="7">
        <f t="shared" si="0"/>
        <v>0</v>
      </c>
    </row>
    <row r="10" spans="1:22" s="3" customFormat="1" ht="30" customHeight="1" thickBot="1" x14ac:dyDescent="0.25">
      <c r="A10" s="1" t="s">
        <v>35</v>
      </c>
      <c r="B10" s="2"/>
    </row>
    <row r="11" spans="1:22" s="3" customFormat="1" ht="30" customHeight="1" thickBot="1" x14ac:dyDescent="0.25"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  <c r="K11" s="5" t="s">
        <v>12</v>
      </c>
      <c r="L11" s="5" t="s">
        <v>13</v>
      </c>
      <c r="M11" s="5" t="s">
        <v>14</v>
      </c>
      <c r="N11" s="5" t="s">
        <v>15</v>
      </c>
      <c r="O11" s="5" t="s">
        <v>16</v>
      </c>
      <c r="P11" s="5" t="s">
        <v>17</v>
      </c>
      <c r="Q11" s="5" t="s">
        <v>18</v>
      </c>
      <c r="R11" s="5" t="s">
        <v>19</v>
      </c>
      <c r="S11" s="5" t="s">
        <v>20</v>
      </c>
      <c r="T11" s="5" t="s">
        <v>21</v>
      </c>
      <c r="U11" s="5" t="s">
        <v>22</v>
      </c>
      <c r="V11" s="5" t="s">
        <v>23</v>
      </c>
    </row>
    <row r="12" spans="1:22" s="3" customFormat="1" ht="30" customHeight="1" thickBot="1" x14ac:dyDescent="0.25">
      <c r="A12" s="6" t="s">
        <v>60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>
        <f t="shared" ref="V12:V17" si="3">SUM(B12:U12)</f>
        <v>0</v>
      </c>
    </row>
    <row r="13" spans="1:22" s="3" customFormat="1" ht="30" customHeight="1" thickBot="1" x14ac:dyDescent="0.25">
      <c r="A13" s="6" t="s">
        <v>61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f t="shared" si="3"/>
        <v>0</v>
      </c>
    </row>
    <row r="14" spans="1:22" s="3" customFormat="1" ht="30" customHeight="1" thickBot="1" x14ac:dyDescent="0.25">
      <c r="A14" s="6" t="s">
        <v>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f t="shared" si="3"/>
        <v>0</v>
      </c>
    </row>
    <row r="15" spans="1:22" s="3" customFormat="1" ht="30" customHeight="1" thickBot="1" x14ac:dyDescent="0.25">
      <c r="A15" s="6" t="s">
        <v>34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f t="shared" si="3"/>
        <v>0</v>
      </c>
    </row>
    <row r="16" spans="1:22" s="3" customFormat="1" ht="30" customHeight="1" thickBot="1" x14ac:dyDescent="0.25">
      <c r="A16" s="6" t="s">
        <v>62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f t="shared" si="3"/>
        <v>0</v>
      </c>
    </row>
    <row r="17" spans="1:22" s="3" customFormat="1" ht="30" customHeight="1" thickBot="1" x14ac:dyDescent="0.25">
      <c r="A17" s="6" t="s">
        <v>63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f t="shared" si="3"/>
        <v>0</v>
      </c>
    </row>
    <row r="19" spans="1:22" s="3" customFormat="1" ht="30" customHeight="1" thickBot="1" x14ac:dyDescent="0.25">
      <c r="A19" s="1" t="s">
        <v>36</v>
      </c>
      <c r="L19" s="9"/>
      <c r="M19" s="9"/>
    </row>
    <row r="20" spans="1:22" s="3" customFormat="1" ht="30" customHeight="1" thickBot="1" x14ac:dyDescent="0.25">
      <c r="B20" s="5" t="s">
        <v>3</v>
      </c>
      <c r="C20" s="5" t="s">
        <v>4</v>
      </c>
      <c r="D20" s="5" t="s">
        <v>5</v>
      </c>
      <c r="E20" s="5" t="s">
        <v>6</v>
      </c>
      <c r="F20" s="5" t="s">
        <v>7</v>
      </c>
      <c r="G20" s="5" t="s">
        <v>8</v>
      </c>
      <c r="H20" s="5" t="s">
        <v>9</v>
      </c>
      <c r="I20" s="5" t="s">
        <v>10</v>
      </c>
      <c r="J20" s="5" t="s">
        <v>11</v>
      </c>
      <c r="K20" s="5" t="s">
        <v>12</v>
      </c>
      <c r="L20" s="5" t="s">
        <v>13</v>
      </c>
      <c r="M20" s="5" t="s">
        <v>14</v>
      </c>
      <c r="N20" s="5" t="s">
        <v>15</v>
      </c>
      <c r="O20" s="5" t="s">
        <v>16</v>
      </c>
      <c r="P20" s="5" t="s">
        <v>17</v>
      </c>
      <c r="Q20" s="5" t="s">
        <v>18</v>
      </c>
      <c r="R20" s="5" t="s">
        <v>19</v>
      </c>
      <c r="S20" s="5" t="s">
        <v>20</v>
      </c>
      <c r="T20" s="5" t="s">
        <v>21</v>
      </c>
      <c r="U20" s="5" t="s">
        <v>22</v>
      </c>
      <c r="V20" s="10" t="s">
        <v>23</v>
      </c>
    </row>
    <row r="21" spans="1:22" s="3" customFormat="1" ht="30" customHeight="1" thickBot="1" x14ac:dyDescent="0.25">
      <c r="A21" s="6" t="s">
        <v>60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11">
        <f t="shared" ref="V21:V26" si="4">SUM(B21:U21)</f>
        <v>0</v>
      </c>
    </row>
    <row r="22" spans="1:22" s="3" customFormat="1" ht="30" customHeight="1" thickBot="1" x14ac:dyDescent="0.25">
      <c r="A22" s="6" t="s">
        <v>61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1">
        <f t="shared" si="4"/>
        <v>0</v>
      </c>
    </row>
    <row r="23" spans="1:22" s="3" customFormat="1" ht="30" customHeight="1" thickBot="1" x14ac:dyDescent="0.25">
      <c r="A23" s="6" t="s">
        <v>33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2"/>
      <c r="P23" s="7"/>
      <c r="Q23" s="7"/>
      <c r="R23" s="7"/>
      <c r="S23" s="7"/>
      <c r="T23" s="7"/>
      <c r="U23" s="7"/>
      <c r="V23" s="11">
        <f t="shared" si="4"/>
        <v>0</v>
      </c>
    </row>
    <row r="24" spans="1:22" s="3" customFormat="1" ht="30" customHeight="1" thickBot="1" x14ac:dyDescent="0.25">
      <c r="A24" s="6" t="s">
        <v>34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2"/>
      <c r="P24" s="7"/>
      <c r="Q24" s="7"/>
      <c r="R24" s="7"/>
      <c r="S24" s="7"/>
      <c r="T24" s="7"/>
      <c r="U24" s="7"/>
      <c r="V24" s="11">
        <f t="shared" si="4"/>
        <v>0</v>
      </c>
    </row>
    <row r="25" spans="1:22" s="3" customFormat="1" ht="30" customHeight="1" thickBot="1" x14ac:dyDescent="0.25">
      <c r="A25" s="6" t="s">
        <v>62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2"/>
      <c r="P25" s="33"/>
      <c r="Q25" s="7"/>
      <c r="R25" s="7"/>
      <c r="S25" s="7"/>
      <c r="T25" s="7"/>
      <c r="U25" s="7"/>
      <c r="V25" s="11">
        <f t="shared" si="4"/>
        <v>0</v>
      </c>
    </row>
    <row r="26" spans="1:22" s="3" customFormat="1" ht="30" customHeight="1" thickBot="1" x14ac:dyDescent="0.25">
      <c r="A26" s="6" t="s">
        <v>63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2"/>
      <c r="P26" s="12"/>
      <c r="Q26" s="7"/>
      <c r="R26" s="7"/>
      <c r="S26" s="7"/>
      <c r="T26" s="7"/>
      <c r="U26" s="7"/>
      <c r="V26" s="11">
        <f t="shared" si="4"/>
        <v>0</v>
      </c>
    </row>
    <row r="28" spans="1:22" x14ac:dyDescent="0.2">
      <c r="R28" t="s">
        <v>64</v>
      </c>
    </row>
    <row r="29" spans="1:22" ht="17" x14ac:dyDescent="0.2">
      <c r="A29" s="14" t="s">
        <v>37</v>
      </c>
      <c r="B29" s="15"/>
      <c r="C29" s="3"/>
      <c r="D29" s="14" t="s">
        <v>38</v>
      </c>
      <c r="E29" s="16"/>
      <c r="F29" s="15"/>
      <c r="G29" s="3"/>
      <c r="H29" s="14" t="s">
        <v>39</v>
      </c>
      <c r="I29" s="16"/>
      <c r="J29" s="15"/>
      <c r="K29" s="2"/>
      <c r="M29" s="17" t="s">
        <v>40</v>
      </c>
      <c r="N29" s="17" t="s">
        <v>41</v>
      </c>
      <c r="O29" s="17" t="s">
        <v>42</v>
      </c>
      <c r="P29" s="17" t="s">
        <v>43</v>
      </c>
      <c r="Q29" s="17" t="s">
        <v>44</v>
      </c>
      <c r="R29" s="14" t="s">
        <v>65</v>
      </c>
      <c r="S29" s="16"/>
      <c r="T29" s="15"/>
    </row>
    <row r="30" spans="1:22" ht="17" x14ac:dyDescent="0.2">
      <c r="A30" s="18"/>
      <c r="B30" s="19" t="s">
        <v>46</v>
      </c>
      <c r="C30" s="3"/>
      <c r="D30" s="18"/>
      <c r="E30" s="20"/>
      <c r="F30" s="19" t="s">
        <v>46</v>
      </c>
      <c r="G30" s="3"/>
      <c r="H30" s="18"/>
      <c r="I30" s="20"/>
      <c r="J30" s="19" t="s">
        <v>46</v>
      </c>
      <c r="K30" s="32"/>
      <c r="M30" s="22"/>
      <c r="N30" s="22"/>
      <c r="O30" s="22" t="s">
        <v>47</v>
      </c>
      <c r="P30" s="22" t="s">
        <v>48</v>
      </c>
      <c r="Q30" s="22" t="s">
        <v>49</v>
      </c>
      <c r="R30" s="18"/>
      <c r="S30" s="23" t="s">
        <v>66</v>
      </c>
      <c r="T30" s="24" t="s">
        <v>67</v>
      </c>
    </row>
    <row r="31" spans="1:22" ht="17" x14ac:dyDescent="0.2">
      <c r="A31" s="25" t="s">
        <v>68</v>
      </c>
      <c r="B31" s="26">
        <f>INT(V21/16)</f>
        <v>0</v>
      </c>
      <c r="C31">
        <f>B31-F31-J31</f>
        <v>0</v>
      </c>
      <c r="D31" s="25" t="str">
        <f>A31</f>
        <v>PAPADELTA</v>
      </c>
      <c r="E31" s="26">
        <f>SUM(B21:M21)</f>
        <v>0</v>
      </c>
      <c r="F31" s="27">
        <f>INT(E31/16)</f>
        <v>0</v>
      </c>
      <c r="H31" s="25" t="str">
        <f>A31</f>
        <v>PAPADELTA</v>
      </c>
      <c r="I31" s="26">
        <f>SUM(N21:U21)</f>
        <v>0</v>
      </c>
      <c r="J31" s="27">
        <f>INT(I31/16)</f>
        <v>0</v>
      </c>
      <c r="M31" s="29">
        <f>(C21+D21+K21)/16</f>
        <v>0</v>
      </c>
      <c r="N31" s="29">
        <f>(E21+F21+G21)/16</f>
        <v>0</v>
      </c>
      <c r="O31" s="29">
        <f>(B21+I21+J21+H21+L21)/16</f>
        <v>0</v>
      </c>
      <c r="P31" s="29">
        <f>(O21+N21+U21+T21)/16</f>
        <v>0</v>
      </c>
      <c r="Q31" s="29">
        <f>(P21+Q21+R21+S21)/16</f>
        <v>0</v>
      </c>
      <c r="R31" s="25" t="str">
        <f>A31</f>
        <v>PAPADELTA</v>
      </c>
      <c r="S31" s="30">
        <f>B31/9*8</f>
        <v>0</v>
      </c>
      <c r="T31" s="27">
        <f>B31/9*1</f>
        <v>0</v>
      </c>
      <c r="U31" s="25" t="str">
        <f>A31</f>
        <v>PAPADELTA</v>
      </c>
      <c r="V31" s="31" t="s">
        <v>69</v>
      </c>
    </row>
    <row r="32" spans="1:22" ht="17" x14ac:dyDescent="0.2">
      <c r="A32" s="25" t="s">
        <v>61</v>
      </c>
      <c r="B32" s="26">
        <f>INT(V22/18)</f>
        <v>0</v>
      </c>
      <c r="C32">
        <f t="shared" ref="C32:C36" si="5">B32-F32-J32</f>
        <v>0</v>
      </c>
      <c r="D32" s="25" t="str">
        <f t="shared" ref="D32:D36" si="6">A32</f>
        <v>GUBLINS</v>
      </c>
      <c r="E32" s="26">
        <f>SUM(B22:M22)</f>
        <v>0</v>
      </c>
      <c r="F32" s="27">
        <f>INT(E32/18)</f>
        <v>0</v>
      </c>
      <c r="H32" s="25" t="str">
        <f t="shared" ref="H32:H36" si="7">A32</f>
        <v>GUBLINS</v>
      </c>
      <c r="I32" s="26">
        <f t="shared" ref="I32:I36" si="8">SUM(N22:U22)</f>
        <v>0</v>
      </c>
      <c r="J32" s="27">
        <f>INT(I32/18)</f>
        <v>0</v>
      </c>
      <c r="M32" s="29">
        <f>(C22+D22+K22)/18</f>
        <v>0</v>
      </c>
      <c r="N32" s="29">
        <f>(E22+F22+G22)/18</f>
        <v>0</v>
      </c>
      <c r="O32" s="29">
        <f>(B22+I22+J22+H22+L22)/18</f>
        <v>0</v>
      </c>
      <c r="P32" s="29">
        <f>(O22+N22+U22+T22)/18</f>
        <v>0</v>
      </c>
      <c r="Q32" s="29">
        <f>(P22+Q22+R22+S22)/18</f>
        <v>0</v>
      </c>
      <c r="R32" s="25" t="str">
        <f t="shared" ref="R32:R36" si="9">A32</f>
        <v>GUBLINS</v>
      </c>
      <c r="S32" s="30">
        <f>B32/9*8</f>
        <v>0</v>
      </c>
      <c r="T32" s="27">
        <f>B32/9*1</f>
        <v>0</v>
      </c>
      <c r="U32" s="25" t="str">
        <f t="shared" ref="U32:U36" si="10">A32</f>
        <v>GUBLINS</v>
      </c>
      <c r="V32" s="31" t="s">
        <v>70</v>
      </c>
    </row>
    <row r="33" spans="1:22" ht="17" x14ac:dyDescent="0.2">
      <c r="A33" s="25" t="s">
        <v>33</v>
      </c>
      <c r="B33" s="26">
        <f>INT(V23/84)</f>
        <v>0</v>
      </c>
      <c r="C33">
        <f t="shared" si="5"/>
        <v>0</v>
      </c>
      <c r="D33" s="25" t="str">
        <f t="shared" si="6"/>
        <v>VARIOS 1</v>
      </c>
      <c r="E33" s="26">
        <f t="shared" ref="E33:E36" si="11">SUM(B23:M23)</f>
        <v>0</v>
      </c>
      <c r="F33" s="27">
        <f t="shared" ref="F33" si="12">INT(E33/84)</f>
        <v>0</v>
      </c>
      <c r="H33" s="25" t="str">
        <f t="shared" si="7"/>
        <v>VARIOS 1</v>
      </c>
      <c r="I33" s="26">
        <f t="shared" si="8"/>
        <v>0</v>
      </c>
      <c r="J33" s="27">
        <f t="shared" ref="J33" si="13">INT(I33/84)</f>
        <v>0</v>
      </c>
      <c r="M33" s="29">
        <f t="shared" ref="M33:M36" si="14">(C23+D23+K23)/84</f>
        <v>0</v>
      </c>
      <c r="N33" s="29">
        <f t="shared" ref="N33:N36" si="15">(E23+F23+G23)/84</f>
        <v>0</v>
      </c>
      <c r="O33" s="29">
        <f t="shared" ref="O33:O36" si="16">(B23+I23+J23+H23+L23)/84</f>
        <v>0</v>
      </c>
      <c r="P33" s="29">
        <f t="shared" ref="P33:P36" si="17">(O23+N23+U23+T23)/84</f>
        <v>0</v>
      </c>
      <c r="Q33" s="29">
        <f>(P23+Q23+R23+S23)/84</f>
        <v>0</v>
      </c>
      <c r="R33" s="25" t="str">
        <f t="shared" si="9"/>
        <v>VARIOS 1</v>
      </c>
      <c r="S33" s="30"/>
      <c r="T33" s="27"/>
      <c r="U33" s="25" t="str">
        <f t="shared" si="10"/>
        <v>VARIOS 1</v>
      </c>
      <c r="V33" s="31" t="s">
        <v>58</v>
      </c>
    </row>
    <row r="34" spans="1:22" ht="17" x14ac:dyDescent="0.2">
      <c r="A34" s="25" t="s">
        <v>34</v>
      </c>
      <c r="B34" s="26">
        <f>INT(V24/96)</f>
        <v>0</v>
      </c>
      <c r="C34">
        <f t="shared" si="5"/>
        <v>0</v>
      </c>
      <c r="D34" s="25" t="str">
        <f t="shared" si="6"/>
        <v>VARIOS 2</v>
      </c>
      <c r="E34" s="26">
        <f t="shared" si="11"/>
        <v>0</v>
      </c>
      <c r="F34" s="27">
        <f>INT(E34/96)</f>
        <v>0</v>
      </c>
      <c r="H34" s="25" t="str">
        <f t="shared" si="7"/>
        <v>VARIOS 2</v>
      </c>
      <c r="I34" s="26">
        <f t="shared" si="8"/>
        <v>0</v>
      </c>
      <c r="J34" s="27">
        <f>INT(I34/96)</f>
        <v>0</v>
      </c>
      <c r="M34" s="29">
        <f>(C24+D24+K24)/96</f>
        <v>0</v>
      </c>
      <c r="N34" s="29">
        <f>(E24+F24+G24)/96</f>
        <v>0</v>
      </c>
      <c r="O34" s="29">
        <f>(B24+I24+J24+H24+L24)/96</f>
        <v>0</v>
      </c>
      <c r="P34" s="29">
        <f>(O24+N24+U24+T24)/96</f>
        <v>0</v>
      </c>
      <c r="Q34" s="29">
        <f>(P24+Q24+R24+S24)/96</f>
        <v>0</v>
      </c>
      <c r="R34" s="25" t="str">
        <f t="shared" si="9"/>
        <v>VARIOS 2</v>
      </c>
      <c r="S34" s="30"/>
      <c r="T34" s="27"/>
      <c r="U34" s="25" t="str">
        <f t="shared" si="10"/>
        <v>VARIOS 2</v>
      </c>
      <c r="V34" s="31" t="s">
        <v>59</v>
      </c>
    </row>
    <row r="35" spans="1:22" ht="17" x14ac:dyDescent="0.2">
      <c r="A35" s="25" t="s">
        <v>62</v>
      </c>
      <c r="B35" s="26">
        <f>INT(V25/96)</f>
        <v>0</v>
      </c>
      <c r="C35">
        <f t="shared" si="5"/>
        <v>0</v>
      </c>
      <c r="D35" s="25" t="str">
        <f t="shared" si="6"/>
        <v>VARIOS 3</v>
      </c>
      <c r="E35" s="26">
        <f t="shared" si="11"/>
        <v>0</v>
      </c>
      <c r="F35" s="27">
        <f>INT(E35/96)</f>
        <v>0</v>
      </c>
      <c r="H35" s="25" t="str">
        <f t="shared" si="7"/>
        <v>VARIOS 3</v>
      </c>
      <c r="I35" s="26">
        <f t="shared" si="8"/>
        <v>0</v>
      </c>
      <c r="J35" s="27">
        <f>INT(I35/96)</f>
        <v>0</v>
      </c>
      <c r="M35" s="29">
        <f>(C25+D25+K25)/96</f>
        <v>0</v>
      </c>
      <c r="N35" s="29">
        <f>(E25+F25+G25)/96</f>
        <v>0</v>
      </c>
      <c r="O35" s="29">
        <f>(B25+I25+J25+H25+L25)/96</f>
        <v>0</v>
      </c>
      <c r="P35" s="29">
        <f>(O25+N25+U25+T25)/96</f>
        <v>0</v>
      </c>
      <c r="Q35" s="29">
        <f>(P25+Q25+R25+S25)/96</f>
        <v>0</v>
      </c>
      <c r="R35" s="25" t="str">
        <f t="shared" si="9"/>
        <v>VARIOS 3</v>
      </c>
      <c r="S35" s="30"/>
      <c r="T35" s="27"/>
      <c r="U35" s="25" t="str">
        <f t="shared" si="10"/>
        <v>VARIOS 3</v>
      </c>
      <c r="V35" s="31" t="s">
        <v>59</v>
      </c>
    </row>
    <row r="36" spans="1:22" ht="17" x14ac:dyDescent="0.2">
      <c r="A36" s="25" t="s">
        <v>63</v>
      </c>
      <c r="B36" s="26">
        <f>INT(V26/84)</f>
        <v>0</v>
      </c>
      <c r="C36">
        <f t="shared" si="5"/>
        <v>0</v>
      </c>
      <c r="D36" s="25" t="str">
        <f t="shared" si="6"/>
        <v>VARIOS 4</v>
      </c>
      <c r="E36" s="26">
        <f t="shared" si="11"/>
        <v>0</v>
      </c>
      <c r="F36" s="27">
        <f>INT(E36/84)</f>
        <v>0</v>
      </c>
      <c r="H36" s="25" t="str">
        <f t="shared" si="7"/>
        <v>VARIOS 4</v>
      </c>
      <c r="I36" s="26">
        <f t="shared" si="8"/>
        <v>0</v>
      </c>
      <c r="J36" s="27">
        <f>INT(I36/84)</f>
        <v>0</v>
      </c>
      <c r="M36" s="29">
        <f t="shared" si="14"/>
        <v>0</v>
      </c>
      <c r="N36" s="29">
        <f t="shared" si="15"/>
        <v>0</v>
      </c>
      <c r="O36" s="29">
        <f t="shared" si="16"/>
        <v>0</v>
      </c>
      <c r="P36" s="29">
        <f t="shared" si="17"/>
        <v>0</v>
      </c>
      <c r="Q36" s="29">
        <f>(P26+Q26+R26+S26)/84</f>
        <v>0</v>
      </c>
      <c r="R36" s="25" t="str">
        <f t="shared" si="9"/>
        <v>VARIOS 4</v>
      </c>
      <c r="S36" s="30"/>
      <c r="T36" s="27"/>
      <c r="U36" s="25" t="str">
        <f t="shared" si="10"/>
        <v>VARIOS 4</v>
      </c>
      <c r="V36" s="31" t="s">
        <v>58</v>
      </c>
    </row>
    <row r="37" spans="1:22" ht="17" x14ac:dyDescent="0.2">
      <c r="O37" s="3"/>
    </row>
  </sheetData>
  <mergeCells count="1">
    <mergeCell ref="F1:G1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 JUMPERS</vt:lpstr>
      <vt:lpstr>PLANTILLA MATUTANO</vt:lpstr>
      <vt:lpstr>PLANTILLA GREFUSA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Teletrabajo</dc:creator>
  <cp:lastModifiedBy>Alberto SALLES IBARRA</cp:lastModifiedBy>
  <dcterms:created xsi:type="dcterms:W3CDTF">2026-01-30T15:24:51Z</dcterms:created>
  <dcterms:modified xsi:type="dcterms:W3CDTF">2026-02-14T09:58:46Z</dcterms:modified>
</cp:coreProperties>
</file>